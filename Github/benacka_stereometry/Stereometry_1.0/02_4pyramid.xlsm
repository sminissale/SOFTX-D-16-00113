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7770" windowHeight="7935" tabRatio="861"/>
  </bookViews>
  <sheets>
    <sheet name="4pyramid (0)" sheetId="42" r:id="rId1"/>
  </sheets>
  <calcPr calcId="145621" iterateDelta="9.9999999999999995E-7"/>
</workbook>
</file>

<file path=xl/calcChain.xml><?xml version="1.0" encoding="utf-8"?>
<calcChain xmlns="http://schemas.openxmlformats.org/spreadsheetml/2006/main">
  <c r="H35" i="42" l="1"/>
  <c r="G35" i="42"/>
  <c r="F35" i="42"/>
  <c r="H34" i="42"/>
  <c r="G34" i="42"/>
  <c r="F34" i="42"/>
  <c r="H33" i="42"/>
  <c r="G33" i="42"/>
  <c r="F33" i="42"/>
  <c r="H32" i="42"/>
  <c r="G32" i="42"/>
  <c r="F32" i="42"/>
  <c r="H31" i="42"/>
  <c r="G31" i="42"/>
  <c r="F31" i="42"/>
  <c r="H30" i="42"/>
  <c r="G30" i="42"/>
  <c r="F30" i="42"/>
  <c r="H29" i="42"/>
  <c r="G29" i="42"/>
  <c r="F29" i="42"/>
  <c r="H28" i="42"/>
  <c r="G28" i="42"/>
  <c r="F28" i="42"/>
  <c r="AD27" i="42"/>
  <c r="AC27" i="42"/>
  <c r="AB27" i="42"/>
  <c r="AA27" i="42"/>
  <c r="H27" i="42"/>
  <c r="G27" i="42"/>
  <c r="F27" i="42"/>
  <c r="AD26" i="42"/>
  <c r="AC26" i="42"/>
  <c r="AB26" i="42"/>
  <c r="AA26" i="42"/>
  <c r="H26" i="42"/>
  <c r="G26" i="42"/>
  <c r="F26" i="42"/>
  <c r="AD25" i="42"/>
  <c r="AC25" i="42"/>
  <c r="AB25" i="42"/>
  <c r="AA25" i="42"/>
  <c r="H25" i="42"/>
  <c r="G25" i="42"/>
  <c r="F25" i="42"/>
  <c r="AD24" i="42"/>
  <c r="AC24" i="42"/>
  <c r="AB24" i="42"/>
  <c r="AA24" i="42"/>
  <c r="H24" i="42"/>
  <c r="G24" i="42"/>
  <c r="F24" i="42"/>
  <c r="AD23" i="42"/>
  <c r="AC23" i="42"/>
  <c r="AB23" i="42"/>
  <c r="AA23" i="42"/>
  <c r="H23" i="42"/>
  <c r="G23" i="42"/>
  <c r="F23" i="42"/>
  <c r="AD22" i="42"/>
  <c r="AC22" i="42"/>
  <c r="AB22" i="42"/>
  <c r="AA22" i="42"/>
  <c r="H22" i="42"/>
  <c r="G22" i="42"/>
  <c r="F22" i="42"/>
  <c r="AD21" i="42"/>
  <c r="AC21" i="42"/>
  <c r="AB21" i="42"/>
  <c r="AA21" i="42"/>
  <c r="H21" i="42"/>
  <c r="G21" i="42"/>
  <c r="F21" i="42"/>
  <c r="AD20" i="42"/>
  <c r="AC20" i="42"/>
  <c r="AB20" i="42"/>
  <c r="AA20" i="42"/>
  <c r="H20" i="42"/>
  <c r="G20" i="42"/>
  <c r="F20" i="42"/>
  <c r="AD19" i="42"/>
  <c r="AC19" i="42"/>
  <c r="AB19" i="42"/>
  <c r="AA19" i="42"/>
  <c r="H19" i="42"/>
  <c r="G19" i="42"/>
  <c r="F19" i="42"/>
  <c r="AD18" i="42"/>
  <c r="AC18" i="42"/>
  <c r="AB18" i="42"/>
  <c r="AA18" i="42"/>
  <c r="AO17" i="42"/>
  <c r="AD17" i="42"/>
  <c r="AC17" i="42"/>
  <c r="AB17" i="42"/>
  <c r="AA17" i="42"/>
  <c r="AO16" i="42"/>
  <c r="AD16" i="42"/>
  <c r="AC16" i="42"/>
  <c r="AB16" i="42"/>
  <c r="AA16" i="42"/>
  <c r="AD15" i="42"/>
  <c r="AC15" i="42"/>
  <c r="AB15" i="42"/>
  <c r="AA15" i="42"/>
  <c r="G15" i="42"/>
  <c r="F15" i="42"/>
  <c r="E15" i="42"/>
  <c r="H15" i="42" s="1"/>
  <c r="AO14" i="42"/>
  <c r="AD14" i="42"/>
  <c r="AC14" i="42"/>
  <c r="AB14" i="42"/>
  <c r="AA14" i="42"/>
  <c r="H14" i="42"/>
  <c r="G14" i="42"/>
  <c r="AL14" i="42" s="1"/>
  <c r="F14" i="42"/>
  <c r="E14" i="42"/>
  <c r="AO13" i="42"/>
  <c r="AD13" i="42"/>
  <c r="AC13" i="42"/>
  <c r="AB13" i="42"/>
  <c r="AA13" i="42"/>
  <c r="G13" i="42"/>
  <c r="AL9" i="42" s="1"/>
  <c r="E13" i="42"/>
  <c r="H13" i="42" s="1"/>
  <c r="D13" i="42"/>
  <c r="C13" i="42"/>
  <c r="AO12" i="42"/>
  <c r="AD12" i="42"/>
  <c r="AC12" i="42"/>
  <c r="AB12" i="42"/>
  <c r="AA12" i="42"/>
  <c r="E12" i="42"/>
  <c r="H12" i="42" s="1"/>
  <c r="D12" i="42"/>
  <c r="G12" i="42" s="1"/>
  <c r="C12" i="42"/>
  <c r="AO11" i="42"/>
  <c r="AD11" i="42"/>
  <c r="AC11" i="42"/>
  <c r="AB11" i="42"/>
  <c r="AA11" i="42"/>
  <c r="F11" i="42"/>
  <c r="E11" i="42"/>
  <c r="H11" i="42" s="1"/>
  <c r="D11" i="42"/>
  <c r="G11" i="42" s="1"/>
  <c r="C11" i="42"/>
  <c r="AO10" i="42"/>
  <c r="AL10" i="42"/>
  <c r="AD10" i="42"/>
  <c r="AC10" i="42"/>
  <c r="AB10" i="42"/>
  <c r="AA10" i="42"/>
  <c r="G10" i="42"/>
  <c r="G16" i="42" s="1"/>
  <c r="AL2" i="42" s="1"/>
  <c r="E10" i="42"/>
  <c r="H10" i="42" s="1"/>
  <c r="D10" i="42"/>
  <c r="C10" i="42"/>
  <c r="AO9" i="42"/>
  <c r="AD9" i="42"/>
  <c r="AC9" i="42"/>
  <c r="AB9" i="42"/>
  <c r="AA9" i="42"/>
  <c r="AO8" i="42"/>
  <c r="AD8" i="42"/>
  <c r="AC8" i="42"/>
  <c r="AB8" i="42"/>
  <c r="AA8" i="42"/>
  <c r="AO7" i="42"/>
  <c r="AD7" i="42"/>
  <c r="AC7" i="42"/>
  <c r="AB7" i="42"/>
  <c r="AA7" i="42"/>
  <c r="AD6" i="42"/>
  <c r="AC6" i="42"/>
  <c r="AB6" i="42"/>
  <c r="AA6" i="42"/>
  <c r="AD5" i="42"/>
  <c r="AC5" i="42"/>
  <c r="AB5" i="42"/>
  <c r="AA5" i="42"/>
  <c r="AD4" i="42"/>
  <c r="AC4" i="42"/>
  <c r="AB4" i="42"/>
  <c r="AA4" i="42"/>
  <c r="AD3" i="42"/>
  <c r="AC3" i="42"/>
  <c r="AB3" i="42"/>
  <c r="AA3" i="42"/>
  <c r="C3" i="42"/>
  <c r="AR3" i="42" s="1"/>
  <c r="C2" i="42"/>
  <c r="AR2" i="42" s="1"/>
  <c r="AO19" i="42" l="1"/>
  <c r="J20" i="42"/>
  <c r="J24" i="42"/>
  <c r="J28" i="42"/>
  <c r="J32" i="42"/>
  <c r="J12" i="42"/>
  <c r="I10" i="42"/>
  <c r="H18" i="42"/>
  <c r="AM4" i="42" s="1"/>
  <c r="AM9" i="42"/>
  <c r="AM14" i="42"/>
  <c r="F10" i="42"/>
  <c r="AK7" i="42" s="1"/>
  <c r="J19" i="42"/>
  <c r="J23" i="42"/>
  <c r="J27" i="42"/>
  <c r="J31" i="42"/>
  <c r="J35" i="42"/>
  <c r="J14" i="42"/>
  <c r="J15" i="42"/>
  <c r="J11" i="42"/>
  <c r="J10" i="42"/>
  <c r="AM10" i="42"/>
  <c r="H16" i="42"/>
  <c r="AM2" i="42" s="1"/>
  <c r="I22" i="42"/>
  <c r="I26" i="42"/>
  <c r="I30" i="42"/>
  <c r="I34" i="42"/>
  <c r="AQ13" i="42"/>
  <c r="AQ9" i="42"/>
  <c r="AQ7" i="42"/>
  <c r="AQ14" i="42"/>
  <c r="AQ12" i="42"/>
  <c r="AQ8" i="42"/>
  <c r="AQ11" i="42"/>
  <c r="AQ10" i="42"/>
  <c r="AL7" i="42"/>
  <c r="G17" i="42"/>
  <c r="AL3" i="42" s="1"/>
  <c r="AQ16" i="42" s="1"/>
  <c r="I28" i="42"/>
  <c r="I14" i="42"/>
  <c r="I31" i="42"/>
  <c r="I27" i="42"/>
  <c r="I23" i="42"/>
  <c r="I19" i="42"/>
  <c r="I32" i="42"/>
  <c r="I24" i="42"/>
  <c r="I20" i="42"/>
  <c r="I12" i="42"/>
  <c r="I35" i="42"/>
  <c r="I15" i="42"/>
  <c r="I11" i="42"/>
  <c r="AM7" i="42"/>
  <c r="H17" i="42"/>
  <c r="AM3" i="42" s="1"/>
  <c r="AL13" i="42"/>
  <c r="AL8" i="42"/>
  <c r="J13" i="42"/>
  <c r="AM8" i="42"/>
  <c r="J21" i="42"/>
  <c r="J25" i="42"/>
  <c r="J29" i="42"/>
  <c r="J33" i="42"/>
  <c r="AK11" i="42"/>
  <c r="J26" i="42"/>
  <c r="AL11" i="42"/>
  <c r="AK12" i="42"/>
  <c r="G18" i="42"/>
  <c r="AL4" i="42" s="1"/>
  <c r="AQ17" i="42" s="1"/>
  <c r="AM11" i="42"/>
  <c r="F12" i="42"/>
  <c r="AL12" i="42"/>
  <c r="I13" i="42"/>
  <c r="F16" i="42"/>
  <c r="I21" i="42"/>
  <c r="I25" i="42"/>
  <c r="I29" i="42"/>
  <c r="I33" i="42"/>
  <c r="AM13" i="42"/>
  <c r="J22" i="42"/>
  <c r="J30" i="42"/>
  <c r="J34" i="42"/>
  <c r="AM12" i="42"/>
  <c r="F13" i="42"/>
  <c r="AK10" i="42" s="1"/>
  <c r="AK13" i="42" l="1"/>
  <c r="AK8" i="42"/>
  <c r="AR16" i="42"/>
  <c r="AR14" i="42"/>
  <c r="AR12" i="42"/>
  <c r="AR8" i="42"/>
  <c r="AR13" i="42"/>
  <c r="AR11" i="42"/>
  <c r="AR7" i="42"/>
  <c r="AR10" i="42"/>
  <c r="AR9" i="42"/>
  <c r="AK14" i="42"/>
  <c r="F18" i="42"/>
  <c r="AK9" i="42"/>
  <c r="I16" i="42"/>
  <c r="J16" i="42"/>
  <c r="AK2" i="42"/>
  <c r="F17" i="42"/>
  <c r="AR17" i="42"/>
  <c r="AP19" i="42" s="1"/>
  <c r="J17" i="42" l="1"/>
  <c r="AK3" i="42"/>
  <c r="AP16" i="42" s="1"/>
  <c r="I17" i="42"/>
  <c r="AP10" i="42"/>
  <c r="AP7" i="42"/>
  <c r="AP13" i="42"/>
  <c r="AP9" i="42"/>
  <c r="AP14" i="42"/>
  <c r="AP12" i="42"/>
  <c r="AP8" i="42"/>
  <c r="AP11" i="42"/>
  <c r="I18" i="42"/>
  <c r="AK4" i="42"/>
  <c r="AP17" i="42" s="1"/>
  <c r="J18" i="42"/>
  <c r="AQ19" i="42" l="1"/>
  <c r="AR19" i="42"/>
  <c r="AI11" i="42" s="1"/>
  <c r="AF11" i="42" s="1"/>
  <c r="AI10" i="42" l="1"/>
  <c r="AF10" i="42" s="1"/>
  <c r="AI7" i="42"/>
  <c r="AF7" i="42" s="1"/>
  <c r="AI14" i="42"/>
  <c r="AF14" i="42" s="1"/>
  <c r="AI12" i="42"/>
  <c r="AF12" i="42" s="1"/>
  <c r="AI13" i="42"/>
  <c r="AF13" i="42" s="1"/>
  <c r="AI9" i="42"/>
  <c r="AF9" i="42" s="1"/>
  <c r="AI8" i="42"/>
  <c r="AF8" i="42" s="1"/>
</calcChain>
</file>

<file path=xl/sharedStrings.xml><?xml version="1.0" encoding="utf-8"?>
<sst xmlns="http://schemas.openxmlformats.org/spreadsheetml/2006/main" count="102" uniqueCount="63">
  <si>
    <t>φ</t>
  </si>
  <si>
    <t>a</t>
  </si>
  <si>
    <t>Join</t>
  </si>
  <si>
    <t>x''</t>
  </si>
  <si>
    <t>y''</t>
  </si>
  <si>
    <t>x</t>
  </si>
  <si>
    <t>y</t>
  </si>
  <si>
    <t>z</t>
  </si>
  <si>
    <t>I</t>
  </si>
  <si>
    <t>A</t>
  </si>
  <si>
    <t>J</t>
  </si>
  <si>
    <t>B</t>
  </si>
  <si>
    <t>C</t>
  </si>
  <si>
    <t>L</t>
  </si>
  <si>
    <t>D</t>
  </si>
  <si>
    <t>E</t>
  </si>
  <si>
    <t>K</t>
  </si>
  <si>
    <t>F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</si>
  <si>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</si>
  <si>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</si>
  <si>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</si>
  <si>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</si>
  <si>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</si>
  <si>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</si>
  <si>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</si>
  <si>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</si>
  <si>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</si>
  <si>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</si>
  <si>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</si>
  <si>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</si>
  <si>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</si>
  <si>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Edge</t>
  </si>
  <si>
    <t>Ratio</t>
  </si>
  <si>
    <t>Point</t>
  </si>
  <si>
    <t>h</t>
  </si>
  <si>
    <t>G</t>
  </si>
  <si>
    <t>H</t>
  </si>
  <si>
    <t>W</t>
  </si>
  <si>
    <t>ScrBr1</t>
  </si>
  <si>
    <t>ScrBr2</t>
  </si>
  <si>
    <t>Rectangle-based right pyramid</t>
  </si>
  <si>
    <t>Vertices and other points</t>
  </si>
  <si>
    <t>x'</t>
  </si>
  <si>
    <t>y'</t>
  </si>
  <si>
    <t>x'1</t>
  </si>
  <si>
    <t>x'2</t>
  </si>
  <si>
    <t>y'1</t>
  </si>
  <si>
    <t>y'2</t>
  </si>
  <si>
    <t>θ</t>
  </si>
  <si>
    <t>This sheet can be used as a template if the white cells are vacated</t>
  </si>
  <si>
    <t>Intersection with plane GHI</t>
  </si>
  <si>
    <t>zoom</t>
  </si>
  <si>
    <t>axes range</t>
  </si>
  <si>
    <t>Base edges and height</t>
  </si>
  <si>
    <t>Cutting plane</t>
  </si>
  <si>
    <t>Complete solution</t>
  </si>
  <si>
    <t>Edge vectors</t>
  </si>
  <si>
    <t>vector</t>
  </si>
  <si>
    <t>vectors in cutting plane</t>
  </si>
  <si>
    <t>normal vector</t>
  </si>
  <si>
    <t xml:space="preserve">Write in the 3 points from column B that give the cutting plane </t>
  </si>
  <si>
    <t>Copy relevant rows from the blue range and paste values into range C16:E35</t>
  </si>
  <si>
    <t>Copyright © 2016 Jan Benacka (see row 38)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</si>
</sst>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name val="Arial"/>
      <family val="2"/>
      <charset val="238"/>
    </font>
    <font>
      <b/>
      <sz val="10"/>
      <color rgb="FF0000FF"/>
      <name val="Arial"/>
      <family val="2"/>
      <charset val="238"/>
    </font>
    <font>
      <b/>
      <sz val="10"/>
      <name val="Calibri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right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protection locked="0"/>
    </xf>
    <xf numFmtId="0" fontId="2" fillId="3" borderId="1" xfId="0" applyFont="1" applyFill="1" applyBorder="1" applyAlignment="1" applyProtection="1">
      <alignment horizontal="center"/>
      <protection hidden="1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0" fillId="4" borderId="1" xfId="0" applyFill="1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2" fontId="0" fillId="4" borderId="1" xfId="0" applyNumberForma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4" borderId="3" xfId="0" applyFill="1" applyBorder="1" applyProtection="1">
      <protection locked="0"/>
    </xf>
    <xf numFmtId="2" fontId="0" fillId="4" borderId="3" xfId="0" applyNumberFormat="1" applyFill="1" applyBorder="1" applyProtection="1">
      <protection locked="0"/>
    </xf>
    <xf numFmtId="0" fontId="5" fillId="4" borderId="4" xfId="0" applyFont="1" applyFill="1" applyBorder="1" applyProtection="1">
      <protection locked="0"/>
    </xf>
    <xf numFmtId="2" fontId="0" fillId="4" borderId="4" xfId="0" applyNumberFormat="1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1" fillId="0" borderId="0" xfId="0" applyFont="1" applyProtection="1">
      <protection locked="0"/>
    </xf>
    <xf numFmtId="0" fontId="1" fillId="4" borderId="1" xfId="0" applyFont="1" applyFill="1" applyBorder="1" applyProtection="1">
      <protection hidden="1"/>
    </xf>
    <xf numFmtId="0" fontId="1" fillId="4" borderId="1" xfId="0" applyFont="1" applyFill="1" applyBorder="1" applyAlignment="1" applyProtection="1">
      <alignment horizontal="right"/>
      <protection hidden="1"/>
    </xf>
    <xf numFmtId="0" fontId="0" fillId="3" borderId="1" xfId="0" applyFill="1" applyBorder="1" applyProtection="1">
      <protection hidden="1"/>
    </xf>
    <xf numFmtId="0" fontId="0" fillId="4" borderId="1" xfId="0" applyNumberFormat="1" applyFill="1" applyBorder="1" applyProtection="1">
      <protection hidden="1"/>
    </xf>
    <xf numFmtId="0" fontId="3" fillId="3" borderId="2" xfId="0" applyFont="1" applyFill="1" applyBorder="1" applyAlignment="1" applyProtection="1">
      <alignment horizontal="center"/>
      <protection hidden="1"/>
    </xf>
    <xf numFmtId="0" fontId="3" fillId="3" borderId="1" xfId="0" applyFont="1" applyFill="1" applyBorder="1" applyAlignment="1" applyProtection="1">
      <alignment horizontal="center"/>
      <protection hidden="1"/>
    </xf>
    <xf numFmtId="0" fontId="7" fillId="5" borderId="1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0" fillId="4" borderId="1" xfId="0" applyFill="1" applyBorder="1"/>
    <xf numFmtId="0" fontId="3" fillId="2" borderId="2" xfId="0" applyFont="1" applyFill="1" applyBorder="1" applyAlignment="1" applyProtection="1">
      <alignment horizontal="center"/>
      <protection locked="0"/>
    </xf>
    <xf numFmtId="0" fontId="1" fillId="8" borderId="1" xfId="0" applyFont="1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</xf>
    <xf numFmtId="0" fontId="2" fillId="7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protection locked="0"/>
    </xf>
    <xf numFmtId="0" fontId="1" fillId="8" borderId="1" xfId="0" applyFont="1" applyFill="1" applyBorder="1" applyAlignment="1" applyProtection="1"/>
    <xf numFmtId="2" fontId="1" fillId="8" borderId="1" xfId="0" applyNumberFormat="1" applyFont="1" applyFill="1" applyBorder="1" applyAlignment="1" applyProtection="1"/>
    <xf numFmtId="0" fontId="2" fillId="3" borderId="3" xfId="0" applyFont="1" applyFill="1" applyBorder="1" applyAlignment="1" applyProtection="1">
      <alignment horizontal="center"/>
      <protection locked="0"/>
    </xf>
    <xf numFmtId="0" fontId="8" fillId="0" borderId="0" xfId="0" applyFont="1"/>
    <xf numFmtId="0" fontId="2" fillId="6" borderId="6" xfId="0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</cellXfs>
  <cellStyles count="1">
    <cellStyle name="Normálna" xfId="0" builtinId="0"/>
  </cellStyles>
  <dxfs count="3">
    <dxf>
      <font>
        <condense val="0"/>
        <extend val="0"/>
        <color indexed="4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032938076416336E-2"/>
          <c:y val="1.9762845849802372E-2"/>
          <c:w val="0.95849802371541504"/>
          <c:h val="0.95652173913043481"/>
        </c:manualLayout>
      </c:layout>
      <c:scatterChart>
        <c:scatterStyle val="lineMarker"/>
        <c:varyColors val="0"/>
        <c:ser>
          <c:idx val="12"/>
          <c:order val="0"/>
          <c:tx>
            <c:strRef>
              <c:f>'4pyramid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(0)'!$I$10</c:f>
              <c:numCache>
                <c:formatCode>0.00</c:formatCode>
                <c:ptCount val="1"/>
                <c:pt idx="0">
                  <c:v>-1.6003431635852619</c:v>
                </c:pt>
              </c:numCache>
            </c:numRef>
          </c:xVal>
          <c:yVal>
            <c:numRef>
              <c:f>'4pyramid (0)'!$J$10</c:f>
              <c:numCache>
                <c:formatCode>0.00</c:formatCode>
                <c:ptCount val="1"/>
                <c:pt idx="0">
                  <c:v>-1.4223441889406705</c:v>
                </c:pt>
              </c:numCache>
            </c:numRef>
          </c:yVal>
          <c:smooth val="0"/>
        </c:ser>
        <c:ser>
          <c:idx val="15"/>
          <c:order val="1"/>
          <c:tx>
            <c:strRef>
              <c:f>'4pyramid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(0)'!$I$11</c:f>
              <c:numCache>
                <c:formatCode>0.00</c:formatCode>
                <c:ptCount val="1"/>
                <c:pt idx="0">
                  <c:v>-0.31476794421218313</c:v>
                </c:pt>
              </c:numCache>
            </c:numRef>
          </c:xVal>
          <c:yVal>
            <c:numRef>
              <c:f>'4pyramid (0)'!$J$11</c:f>
              <c:numCache>
                <c:formatCode>0.00</c:formatCode>
                <c:ptCount val="1"/>
                <c:pt idx="0">
                  <c:v>-1.9463494493994402</c:v>
                </c:pt>
              </c:numCache>
            </c:numRef>
          </c:yVal>
          <c:smooth val="0"/>
        </c:ser>
        <c:ser>
          <c:idx val="55"/>
          <c:order val="2"/>
          <c:tx>
            <c:strRef>
              <c:f>'4pyramid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(0)'!$I$12</c:f>
              <c:numCache>
                <c:formatCode>0.00</c:formatCode>
                <c:ptCount val="1"/>
                <c:pt idx="0">
                  <c:v>1.6003431635852619</c:v>
                </c:pt>
              </c:numCache>
            </c:numRef>
          </c:xVal>
          <c:yVal>
            <c:numRef>
              <c:f>'4pyramid (0)'!$J$12</c:f>
              <c:numCache>
                <c:formatCode>0.00</c:formatCode>
                <c:ptCount val="1"/>
                <c:pt idx="0">
                  <c:v>-1.3967336734170548</c:v>
                </c:pt>
              </c:numCache>
            </c:numRef>
          </c:yVal>
          <c:smooth val="0"/>
        </c:ser>
        <c:ser>
          <c:idx val="56"/>
          <c:order val="3"/>
          <c:tx>
            <c:strRef>
              <c:f>'4pyramid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(0)'!$I$13</c:f>
              <c:numCache>
                <c:formatCode>0.00</c:formatCode>
                <c:ptCount val="1"/>
                <c:pt idx="0">
                  <c:v>0.31476794421218313</c:v>
                </c:pt>
              </c:numCache>
            </c:numRef>
          </c:xVal>
          <c:yVal>
            <c:numRef>
              <c:f>'4pyramid (0)'!$J$13</c:f>
              <c:numCache>
                <c:formatCode>0.00</c:formatCode>
                <c:ptCount val="1"/>
                <c:pt idx="0">
                  <c:v>-0.87272841295828507</c:v>
                </c:pt>
              </c:numCache>
            </c:numRef>
          </c:yVal>
          <c:smooth val="0"/>
        </c:ser>
        <c:ser>
          <c:idx val="57"/>
          <c:order val="4"/>
          <c:tx>
            <c:strRef>
              <c:f>'4pyramid (0)'!$B$14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'4pyramid (0)'!$J$14</c:f>
              <c:numCache>
                <c:formatCode>0.00</c:formatCode>
                <c:ptCount val="1"/>
                <c:pt idx="0">
                  <c:v>1.4095389311788626</c:v>
                </c:pt>
              </c:numCache>
            </c:numRef>
          </c:yVal>
          <c:smooth val="0"/>
        </c:ser>
        <c:ser>
          <c:idx val="58"/>
          <c:order val="5"/>
          <c:tx>
            <c:strRef>
              <c:f>'4pyramid (0)'!$B$15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'4pyramid (0)'!$J$15</c:f>
              <c:numCache>
                <c:formatCode>0.00</c:formatCode>
                <c:ptCount val="1"/>
                <c:pt idx="0">
                  <c:v>-1.4095389311788626</c:v>
                </c:pt>
              </c:numCache>
            </c:numRef>
          </c:yVal>
          <c:smooth val="0"/>
        </c:ser>
        <c:ser>
          <c:idx val="0"/>
          <c:order val="6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'4pyramid (0)'!$I$10:$I$11</c:f>
              <c:numCache>
                <c:formatCode>0.00</c:formatCode>
                <c:ptCount val="2"/>
                <c:pt idx="0">
                  <c:v>-1.6003431635852619</c:v>
                </c:pt>
                <c:pt idx="1">
                  <c:v>-0.31476794421218313</c:v>
                </c:pt>
              </c:numCache>
            </c:numRef>
          </c:xVal>
          <c:yVal>
            <c:numRef>
              <c:f>'4pyramid (0)'!$J$10:$J$11</c:f>
              <c:numCache>
                <c:formatCode>0.00</c:formatCode>
                <c:ptCount val="2"/>
                <c:pt idx="0">
                  <c:v>-1.4223441889406705</c:v>
                </c:pt>
                <c:pt idx="1">
                  <c:v>-1.9463494493994402</c:v>
                </c:pt>
              </c:numCache>
            </c:numRef>
          </c:yVal>
          <c:smooth val="0"/>
        </c:ser>
        <c:ser>
          <c:idx val="1"/>
          <c:order val="7"/>
          <c:tx>
            <c:v>BC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'4pyramid (0)'!$I$11:$I$12</c:f>
              <c:numCache>
                <c:formatCode>0.00</c:formatCode>
                <c:ptCount val="2"/>
                <c:pt idx="0">
                  <c:v>-0.31476794421218313</c:v>
                </c:pt>
                <c:pt idx="1">
                  <c:v>1.6003431635852619</c:v>
                </c:pt>
              </c:numCache>
            </c:numRef>
          </c:xVal>
          <c:yVal>
            <c:numRef>
              <c:f>'4pyramid (0)'!$J$11:$J$12</c:f>
              <c:numCache>
                <c:formatCode>0.00</c:formatCode>
                <c:ptCount val="2"/>
                <c:pt idx="0">
                  <c:v>-1.9463494493994402</c:v>
                </c:pt>
                <c:pt idx="1">
                  <c:v>-1.3967336734170548</c:v>
                </c:pt>
              </c:numCache>
            </c:numRef>
          </c:yVal>
          <c:smooth val="0"/>
        </c:ser>
        <c:ser>
          <c:idx val="2"/>
          <c:order val="8"/>
          <c:tx>
            <c:v>CD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'4pyramid (0)'!$I$12:$I$13</c:f>
              <c:numCache>
                <c:formatCode>0.00</c:formatCode>
                <c:ptCount val="2"/>
                <c:pt idx="0">
                  <c:v>1.6003431635852619</c:v>
                </c:pt>
                <c:pt idx="1">
                  <c:v>0.31476794421218313</c:v>
                </c:pt>
              </c:numCache>
            </c:numRef>
          </c:xVal>
          <c:yVal>
            <c:numRef>
              <c:f>'4pyramid (0)'!$J$12:$J$13</c:f>
              <c:numCache>
                <c:formatCode>0.00</c:formatCode>
                <c:ptCount val="2"/>
                <c:pt idx="0">
                  <c:v>-1.3967336734170548</c:v>
                </c:pt>
                <c:pt idx="1">
                  <c:v>-0.87272841295828507</c:v>
                </c:pt>
              </c:numCache>
            </c:numRef>
          </c:yVal>
          <c:smooth val="0"/>
        </c:ser>
        <c:ser>
          <c:idx val="8"/>
          <c:order val="9"/>
          <c:tx>
            <c:v>DA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('4pyramid (0)'!$I$10,'4pyramid (0)'!$I$13)</c:f>
              <c:numCache>
                <c:formatCode>0.00</c:formatCode>
                <c:ptCount val="2"/>
                <c:pt idx="0">
                  <c:v>-1.6003431635852619</c:v>
                </c:pt>
                <c:pt idx="1">
                  <c:v>0.31476794421218313</c:v>
                </c:pt>
              </c:numCache>
            </c:numRef>
          </c:xVal>
          <c:yVal>
            <c:numRef>
              <c:f>('4pyramid (0)'!$J$10,'4pyramid (0)'!$J$13)</c:f>
              <c:numCache>
                <c:formatCode>0.00</c:formatCode>
                <c:ptCount val="2"/>
                <c:pt idx="0">
                  <c:v>-1.4223441889406705</c:v>
                </c:pt>
                <c:pt idx="1">
                  <c:v>-0.87272841295828507</c:v>
                </c:pt>
              </c:numCache>
            </c:numRef>
          </c:yVal>
          <c:smooth val="0"/>
        </c:ser>
        <c:ser>
          <c:idx val="4"/>
          <c:order val="10"/>
          <c:tx>
            <c:v>AE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('4pyramid (0)'!$I$10,'4pyramid (0)'!$I$14)</c:f>
              <c:numCache>
                <c:formatCode>0.00</c:formatCode>
                <c:ptCount val="2"/>
                <c:pt idx="0">
                  <c:v>-1.6003431635852619</c:v>
                </c:pt>
                <c:pt idx="1">
                  <c:v>0</c:v>
                </c:pt>
              </c:numCache>
            </c:numRef>
          </c:xVal>
          <c:yVal>
            <c:numRef>
              <c:f>('4pyramid (0)'!$J$10,'4pyramid (0)'!$J$14)</c:f>
              <c:numCache>
                <c:formatCode>0.00</c:formatCode>
                <c:ptCount val="2"/>
                <c:pt idx="0">
                  <c:v>-1.4223441889406705</c:v>
                </c:pt>
                <c:pt idx="1">
                  <c:v>1.4095389311788626</c:v>
                </c:pt>
              </c:numCache>
            </c:numRef>
          </c:yVal>
          <c:smooth val="0"/>
        </c:ser>
        <c:ser>
          <c:idx val="5"/>
          <c:order val="11"/>
          <c:tx>
            <c:v>BE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('4pyramid (0)'!$I$11,'4pyramid (0)'!$I$14)</c:f>
              <c:numCache>
                <c:formatCode>0.00</c:formatCode>
                <c:ptCount val="2"/>
                <c:pt idx="0">
                  <c:v>-0.31476794421218313</c:v>
                </c:pt>
                <c:pt idx="1">
                  <c:v>0</c:v>
                </c:pt>
              </c:numCache>
            </c:numRef>
          </c:xVal>
          <c:yVal>
            <c:numRef>
              <c:f>('4pyramid (0)'!$J$11,'4pyramid (0)'!$J$14)</c:f>
              <c:numCache>
                <c:formatCode>0.00</c:formatCode>
                <c:ptCount val="2"/>
                <c:pt idx="0">
                  <c:v>-1.9463494493994402</c:v>
                </c:pt>
                <c:pt idx="1">
                  <c:v>1.4095389311788626</c:v>
                </c:pt>
              </c:numCache>
            </c:numRef>
          </c:yVal>
          <c:smooth val="0"/>
        </c:ser>
        <c:ser>
          <c:idx val="6"/>
          <c:order val="12"/>
          <c:tx>
            <c:v>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('4pyramid (0)'!$I$12,'4pyramid (0)'!$I$14)</c:f>
              <c:numCache>
                <c:formatCode>0.00</c:formatCode>
                <c:ptCount val="2"/>
                <c:pt idx="0">
                  <c:v>1.6003431635852619</c:v>
                </c:pt>
                <c:pt idx="1">
                  <c:v>0</c:v>
                </c:pt>
              </c:numCache>
            </c:numRef>
          </c:xVal>
          <c:yVal>
            <c:numRef>
              <c:f>('4pyramid (0)'!$J$12,'4pyramid (0)'!$J$14)</c:f>
              <c:numCache>
                <c:formatCode>0.00</c:formatCode>
                <c:ptCount val="2"/>
                <c:pt idx="0">
                  <c:v>-1.3967336734170548</c:v>
                </c:pt>
                <c:pt idx="1">
                  <c:v>1.4095389311788626</c:v>
                </c:pt>
              </c:numCache>
            </c:numRef>
          </c:yVal>
          <c:smooth val="0"/>
        </c:ser>
        <c:ser>
          <c:idx val="7"/>
          <c:order val="13"/>
          <c:tx>
            <c:v>DE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'4pyramid (0)'!$I$13:$I$14</c:f>
              <c:numCache>
                <c:formatCode>0.00</c:formatCode>
                <c:ptCount val="2"/>
                <c:pt idx="0">
                  <c:v>0.31476794421218313</c:v>
                </c:pt>
                <c:pt idx="1">
                  <c:v>0</c:v>
                </c:pt>
              </c:numCache>
            </c:numRef>
          </c:xVal>
          <c:yVal>
            <c:numRef>
              <c:f>'4pyramid (0)'!$J$13:$J$14</c:f>
              <c:numCache>
                <c:formatCode>0.00</c:formatCode>
                <c:ptCount val="2"/>
                <c:pt idx="0">
                  <c:v>-0.87272841295828507</c:v>
                </c:pt>
                <c:pt idx="1">
                  <c:v>1.4095389311788626</c:v>
                </c:pt>
              </c:numCache>
            </c:numRef>
          </c:yVal>
          <c:smooth val="0"/>
        </c:ser>
        <c:ser>
          <c:idx val="9"/>
          <c:order val="14"/>
          <c:tx>
            <c:v>AC</c:v>
          </c:tx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('4pyramid (0)'!$I$10,'4pyramid (0)'!$I$12)</c:f>
              <c:numCache>
                <c:formatCode>0.00</c:formatCode>
                <c:ptCount val="2"/>
                <c:pt idx="0">
                  <c:v>-1.6003431635852619</c:v>
                </c:pt>
                <c:pt idx="1">
                  <c:v>1.6003431635852619</c:v>
                </c:pt>
              </c:numCache>
            </c:numRef>
          </c:xVal>
          <c:yVal>
            <c:numRef>
              <c:f>('4pyramid (0)'!$J$10,'4pyramid (0)'!$J$12)</c:f>
              <c:numCache>
                <c:formatCode>0.00</c:formatCode>
                <c:ptCount val="2"/>
                <c:pt idx="0">
                  <c:v>-1.4223441889406705</c:v>
                </c:pt>
                <c:pt idx="1">
                  <c:v>-1.3967336734170548</c:v>
                </c:pt>
              </c:numCache>
            </c:numRef>
          </c:yVal>
          <c:smooth val="0"/>
        </c:ser>
        <c:ser>
          <c:idx val="10"/>
          <c:order val="15"/>
          <c:tx>
            <c:v>BD</c:v>
          </c:tx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('4pyramid (0)'!$I$11,'4pyramid (0)'!$I$13)</c:f>
              <c:numCache>
                <c:formatCode>0.00</c:formatCode>
                <c:ptCount val="2"/>
                <c:pt idx="0">
                  <c:v>-0.31476794421218313</c:v>
                </c:pt>
                <c:pt idx="1">
                  <c:v>0.31476794421218313</c:v>
                </c:pt>
              </c:numCache>
            </c:numRef>
          </c:xVal>
          <c:yVal>
            <c:numRef>
              <c:f>('4pyramid (0)'!$J$11,'4pyramid (0)'!$J$13)</c:f>
              <c:numCache>
                <c:formatCode>0.00</c:formatCode>
                <c:ptCount val="2"/>
                <c:pt idx="0">
                  <c:v>-1.9463494493994402</c:v>
                </c:pt>
                <c:pt idx="1">
                  <c:v>-0.87272841295828507</c:v>
                </c:pt>
              </c:numCache>
            </c:numRef>
          </c:yVal>
          <c:smooth val="0"/>
        </c:ser>
        <c:ser>
          <c:idx val="11"/>
          <c:order val="16"/>
          <c:tx>
            <c:v>EF</c:v>
          </c:tx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'4pyramid (0)'!$I$14:$I$15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'4pyramid (0)'!$J$14:$J$15</c:f>
              <c:numCache>
                <c:formatCode>0.00</c:formatCode>
                <c:ptCount val="2"/>
                <c:pt idx="0">
                  <c:v>1.4095389311788626</c:v>
                </c:pt>
                <c:pt idx="1">
                  <c:v>-1.4095389311788626</c:v>
                </c:pt>
              </c:numCache>
            </c:numRef>
          </c:yVal>
          <c:smooth val="0"/>
        </c:ser>
        <c:ser>
          <c:idx val="17"/>
          <c:order val="17"/>
          <c:tx>
            <c:v>join1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'4pyramid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18"/>
          <c:tx>
            <c:v>join2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'4pyramid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19"/>
          <c:tx>
            <c:v>join3</c:v>
          </c:tx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'4pyramid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20"/>
          <c:tx>
            <c:v>join4</c:v>
          </c:tx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'4pyramid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21"/>
          <c:tx>
            <c:v>join5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'4pyramid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22"/>
          <c:tx>
            <c:v>join6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3"/>
          <c:tx>
            <c:v>join7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'4pyramid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4"/>
          <c:tx>
            <c:v>join8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'4pyramid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5"/>
          <c:tx>
            <c:v>join9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'4pyramid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26"/>
          <c:tx>
            <c:v>join10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'4pyramid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27"/>
          <c:tx>
            <c:v>join11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28"/>
          <c:tx>
            <c:v>join12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29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30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31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2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3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34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35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36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37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38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39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40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41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'4pyramid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'4pyramid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9"/>
          <c:order val="42"/>
          <c:tx>
            <c:strRef>
              <c:f>'4pyramid (0)'!$B$16</c:f>
              <c:strCache>
                <c:ptCount val="1"/>
                <c:pt idx="0">
                  <c:v>G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(0)'!$J$16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60"/>
          <c:order val="43"/>
          <c:tx>
            <c:strRef>
              <c:f>'4pyramid (0)'!$B$17</c:f>
              <c:strCache>
                <c:ptCount val="1"/>
                <c:pt idx="0">
                  <c:v>H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(0)'!$J$17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"/>
          <c:order val="44"/>
          <c:tx>
            <c:strRef>
              <c:f>'4pyramid (0)'!$B$18</c:f>
              <c:strCache>
                <c:ptCount val="1"/>
                <c:pt idx="0">
                  <c:v>I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(0)'!$J$18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3"/>
          <c:order val="45"/>
          <c:tx>
            <c:strRef>
              <c:f>'4pyramid (0)'!$B$19</c:f>
              <c:strCache>
                <c:ptCount val="1"/>
                <c:pt idx="0">
                  <c:v>J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(0)'!$I$19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(0)'!$J$19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4"/>
          <c:order val="46"/>
          <c:tx>
            <c:strRef>
              <c:f>'4pyramid (0)'!$B$20</c:f>
              <c:strCache>
                <c:ptCount val="1"/>
                <c:pt idx="0">
                  <c:v>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47"/>
          <c:tx>
            <c:strRef>
              <c:f>'4pyramid (0)'!$B$21</c:f>
              <c:strCache>
                <c:ptCount val="1"/>
                <c:pt idx="0">
                  <c:v>L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48"/>
          <c:tx>
            <c:strRef>
              <c:f>'4pyramid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49"/>
          <c:tx>
            <c:strRef>
              <c:f>'4pyramid (0)'!$B$23</c:f>
              <c:strCache>
                <c:ptCount val="1"/>
                <c:pt idx="0">
                  <c:v>N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50"/>
          <c:tx>
            <c:strRef>
              <c:f>'4pyramid (0)'!$B$24</c:f>
              <c:strCache>
                <c:ptCount val="1"/>
                <c:pt idx="0">
                  <c:v>O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51"/>
          <c:tx>
            <c:strRef>
              <c:f>'4pyramid (0)'!$B$25</c:f>
              <c:strCache>
                <c:ptCount val="1"/>
                <c:pt idx="0">
                  <c:v>P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52"/>
          <c:tx>
            <c:strRef>
              <c:f>'4pyramid (0)'!$B$26</c:f>
              <c:strCache>
                <c:ptCount val="1"/>
                <c:pt idx="0">
                  <c:v>Q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53"/>
          <c:tx>
            <c:strRef>
              <c:f>'4pyramid (0)'!$B$27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54"/>
          <c:tx>
            <c:strRef>
              <c:f>'4pyramid (0)'!$B$28</c:f>
              <c:strCache>
                <c:ptCount val="1"/>
                <c:pt idx="0">
                  <c:v>S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55"/>
          <c:tx>
            <c:strRef>
              <c:f>'4pyramid (0)'!$B$29</c:f>
              <c:strCache>
                <c:ptCount val="1"/>
                <c:pt idx="0">
                  <c:v>T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56"/>
          <c:tx>
            <c:strRef>
              <c:f>'4pyramid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61"/>
          <c:order val="57"/>
          <c:tx>
            <c:strRef>
              <c:f>'4pyramid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58"/>
          <c:tx>
            <c:strRef>
              <c:f>'4pyramid (0)'!$B$32</c:f>
              <c:strCache>
                <c:ptCount val="1"/>
                <c:pt idx="0">
                  <c:v>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59"/>
          <c:tx>
            <c:strRef>
              <c:f>'4pyramid (0)'!$B$33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60"/>
          <c:tx>
            <c:strRef>
              <c:f>'4pyramid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61"/>
          <c:tx>
            <c:strRef>
              <c:f>'4pyramid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'4pyramid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'4pyramid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46816"/>
        <c:axId val="158965120"/>
      </c:scatterChart>
      <c:valAx>
        <c:axId val="158946816"/>
        <c:scaling>
          <c:orientation val="minMax"/>
          <c:max val="2.75"/>
          <c:min val="-2.75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8965120"/>
        <c:crosses val="autoZero"/>
        <c:crossBetween val="midCat"/>
      </c:valAx>
      <c:valAx>
        <c:axId val="158965120"/>
        <c:scaling>
          <c:orientation val="minMax"/>
          <c:max val="2.75"/>
          <c:min val="-2.75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89468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47625</xdr:colOff>
      <xdr:row>0</xdr:row>
      <xdr:rowOff>47625</xdr:rowOff>
    </xdr:from>
    <xdr:to>
      <xdr:col>23</xdr:col>
      <xdr:colOff>342900</xdr:colOff>
      <xdr:row>29</xdr:row>
      <xdr:rowOff>123825</xdr:rowOff>
    </xdr:to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390525</xdr:colOff>
          <xdr:row>2</xdr:row>
          <xdr:rowOff>9525</xdr:rowOff>
        </xdr:to>
        <xdr:sp macro="" textlink="">
          <xdr:nvSpPr>
            <xdr:cNvPr id="70657" name="ScrollBar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390525</xdr:colOff>
          <xdr:row>3</xdr:row>
          <xdr:rowOff>9525</xdr:rowOff>
        </xdr:to>
        <xdr:sp macro="" textlink="">
          <xdr:nvSpPr>
            <xdr:cNvPr id="70658" name="ScrollBar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0659" name="SpinButton1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133350</xdr:rowOff>
        </xdr:from>
        <xdr:to>
          <xdr:col>10</xdr:col>
          <xdr:colOff>152400</xdr:colOff>
          <xdr:row>6</xdr:row>
          <xdr:rowOff>57150</xdr:rowOff>
        </xdr:to>
        <xdr:sp macro="" textlink="">
          <xdr:nvSpPr>
            <xdr:cNvPr id="70660" name="CheckBox1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37</xdr:row>
      <xdr:rowOff>0</xdr:rowOff>
    </xdr:from>
    <xdr:to>
      <xdr:col>20</xdr:col>
      <xdr:colOff>342900</xdr:colOff>
      <xdr:row>46</xdr:row>
      <xdr:rowOff>9524</xdr:rowOff>
    </xdr:to>
    <xdr:sp macro="" textlink="">
      <xdr:nvSpPr>
        <xdr:cNvPr id="8" name="BlokTextu 7"/>
        <xdr:cNvSpPr txBox="1"/>
      </xdr:nvSpPr>
      <xdr:spPr>
        <a:xfrm>
          <a:off x="47625" y="6038850"/>
          <a:ext cx="5638800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8"/>
  <dimension ref="B1:AU55"/>
  <sheetViews>
    <sheetView showGridLines="0" tabSelected="1" zoomScaleNormal="100" workbookViewId="0">
      <selection activeCell="AU5" sqref="AU5"/>
    </sheetView>
  </sheetViews>
  <sheetFormatPr defaultRowHeight="12.75" x14ac:dyDescent="0.2"/>
  <cols>
    <col min="1" max="1" width="0.7109375" style="1" customWidth="1"/>
    <col min="2" max="2" width="5.7109375" style="1" customWidth="1"/>
    <col min="3" max="5" width="5.28515625" style="1" customWidth="1"/>
    <col min="6" max="7" width="5.7109375" style="1" hidden="1" customWidth="1"/>
    <col min="8" max="8" width="5.85546875" style="1" hidden="1" customWidth="1"/>
    <col min="9" max="10" width="5.7109375" style="1" hidden="1" customWidth="1"/>
    <col min="11" max="11" width="6.42578125" style="1" customWidth="1"/>
    <col min="12" max="21" width="5.7109375" style="1" customWidth="1"/>
    <col min="22" max="22" width="5" style="1" customWidth="1"/>
    <col min="23" max="24" width="5.7109375" style="1" customWidth="1"/>
    <col min="25" max="26" width="5.7109375" style="1" bestFit="1" customWidth="1"/>
    <col min="27" max="28" width="5.7109375" style="1" hidden="1" customWidth="1"/>
    <col min="29" max="30" width="6.85546875" style="1" hidden="1" customWidth="1"/>
    <col min="31" max="31" width="0.5703125" style="1" customWidth="1"/>
    <col min="32" max="32" width="5.7109375" style="1" hidden="1" customWidth="1"/>
    <col min="33" max="33" width="6.7109375" style="1" hidden="1" customWidth="1"/>
    <col min="34" max="34" width="6.42578125" style="1" hidden="1" customWidth="1"/>
    <col min="35" max="35" width="5.140625" style="1" hidden="1" customWidth="1"/>
    <col min="36" max="36" width="0.7109375" style="1" hidden="1" customWidth="1"/>
    <col min="37" max="38" width="5.140625" style="1" hidden="1" customWidth="1"/>
    <col min="39" max="39" width="4.5703125" style="1" hidden="1" customWidth="1"/>
    <col min="40" max="40" width="0.85546875" style="1" hidden="1" customWidth="1"/>
    <col min="41" max="41" width="7" style="1" hidden="1" customWidth="1"/>
    <col min="42" max="42" width="5.28515625" style="1" hidden="1" customWidth="1"/>
    <col min="43" max="44" width="4.5703125" style="1" hidden="1" customWidth="1"/>
    <col min="45" max="45" width="1" style="1" customWidth="1"/>
    <col min="46" max="16384" width="9.140625" style="1"/>
  </cols>
  <sheetData>
    <row r="1" spans="2:47" ht="16.5" customHeight="1" x14ac:dyDescent="0.25">
      <c r="B1" s="13" t="s">
        <v>40</v>
      </c>
      <c r="Y1" s="45" t="s">
        <v>2</v>
      </c>
      <c r="Z1" s="45"/>
      <c r="AF1" s="45" t="s">
        <v>54</v>
      </c>
      <c r="AG1" s="45"/>
      <c r="AH1" s="45"/>
      <c r="AI1" s="45"/>
      <c r="AK1" s="7" t="s">
        <v>5</v>
      </c>
      <c r="AL1" s="7" t="s">
        <v>6</v>
      </c>
      <c r="AM1" s="7" t="s">
        <v>7</v>
      </c>
      <c r="AT1" s="42" t="s">
        <v>62</v>
      </c>
    </row>
    <row r="2" spans="2:47" ht="12.75" customHeight="1" x14ac:dyDescent="0.2">
      <c r="B2" s="29" t="s">
        <v>0</v>
      </c>
      <c r="C2" s="23">
        <f>AP2-180</f>
        <v>50</v>
      </c>
      <c r="U2" s="2"/>
      <c r="V2" s="2"/>
      <c r="W2" s="2"/>
      <c r="X2" s="2"/>
      <c r="Y2" s="31" t="s">
        <v>33</v>
      </c>
      <c r="Z2" s="31" t="s">
        <v>33</v>
      </c>
      <c r="AA2" s="7" t="s">
        <v>44</v>
      </c>
      <c r="AB2" s="7" t="s">
        <v>45</v>
      </c>
      <c r="AC2" s="7" t="s">
        <v>46</v>
      </c>
      <c r="AD2" s="7" t="s">
        <v>47</v>
      </c>
      <c r="AF2" s="46" t="s">
        <v>60</v>
      </c>
      <c r="AG2" s="47"/>
      <c r="AH2" s="47"/>
      <c r="AI2" s="33"/>
      <c r="AK2" s="34" t="e">
        <f>VLOOKUP(AI2,$B$10:$H$35,5)</f>
        <v>#N/A</v>
      </c>
      <c r="AL2" s="34" t="e">
        <f>VLOOKUP(AI2,$B$10:$H$35,6)</f>
        <v>#N/A</v>
      </c>
      <c r="AM2" s="34" t="e">
        <f>VLOOKUP(AI2,$B$10:$H$35,7)</f>
        <v>#N/A</v>
      </c>
      <c r="AO2" s="7" t="s">
        <v>38</v>
      </c>
      <c r="AP2" s="12">
        <v>230</v>
      </c>
      <c r="AQ2" s="14" t="s">
        <v>0</v>
      </c>
      <c r="AR2" s="15">
        <f>RADIANS(C2)</f>
        <v>0.87266462599716477</v>
      </c>
      <c r="AU2"/>
    </row>
    <row r="3" spans="2:47" x14ac:dyDescent="0.2">
      <c r="B3" s="29" t="s">
        <v>48</v>
      </c>
      <c r="C3" s="24">
        <f>AP3-90</f>
        <v>20</v>
      </c>
      <c r="Y3" s="3"/>
      <c r="Z3" s="3"/>
      <c r="AA3" s="15" t="e">
        <f t="shared" ref="AA3:AB27" si="0">VLOOKUP(Y3,$B$10:$J$35,8)</f>
        <v>#N/A</v>
      </c>
      <c r="AB3" s="15" t="e">
        <f t="shared" si="0"/>
        <v>#N/A</v>
      </c>
      <c r="AC3" s="15" t="e">
        <f t="shared" ref="AC3:AD27" si="1">VLOOKUP(Y3,$B$10:$J$35,9)</f>
        <v>#N/A</v>
      </c>
      <c r="AD3" s="15" t="e">
        <f t="shared" si="1"/>
        <v>#N/A</v>
      </c>
      <c r="AE3" s="4"/>
      <c r="AF3" s="47"/>
      <c r="AG3" s="47"/>
      <c r="AH3" s="47"/>
      <c r="AI3" s="35"/>
      <c r="AK3" s="34" t="e">
        <f>VLOOKUP(AI3,$B$10:$H$35,5)</f>
        <v>#N/A</v>
      </c>
      <c r="AL3" s="34" t="e">
        <f>VLOOKUP(AI3,$B$10:$H$35,6)</f>
        <v>#N/A</v>
      </c>
      <c r="AM3" s="34" t="e">
        <f>VLOOKUP(AI3,$B$10:$H$35,7)</f>
        <v>#N/A</v>
      </c>
      <c r="AO3" s="7" t="s">
        <v>39</v>
      </c>
      <c r="AP3" s="12">
        <v>110</v>
      </c>
      <c r="AQ3" s="14" t="s">
        <v>48</v>
      </c>
      <c r="AR3" s="15">
        <f>RADIANS(C3)</f>
        <v>0.3490658503988659</v>
      </c>
      <c r="AT3"/>
      <c r="AU3"/>
    </row>
    <row r="4" spans="2:47" x14ac:dyDescent="0.2">
      <c r="B4" s="8" t="s">
        <v>53</v>
      </c>
      <c r="C4" s="8"/>
      <c r="Y4" s="3"/>
      <c r="Z4" s="3"/>
      <c r="AA4" s="15" t="e">
        <f t="shared" si="0"/>
        <v>#N/A</v>
      </c>
      <c r="AB4" s="15" t="e">
        <f t="shared" si="0"/>
        <v>#N/A</v>
      </c>
      <c r="AC4" s="15" t="e">
        <f t="shared" si="1"/>
        <v>#N/A</v>
      </c>
      <c r="AD4" s="15" t="e">
        <f t="shared" si="1"/>
        <v>#N/A</v>
      </c>
      <c r="AE4" s="4"/>
      <c r="AF4" s="47"/>
      <c r="AG4" s="47"/>
      <c r="AH4" s="47"/>
      <c r="AI4" s="35"/>
      <c r="AK4" s="34" t="e">
        <f>VLOOKUP(AI4,$B$10:$H$35,5)</f>
        <v>#N/A</v>
      </c>
      <c r="AL4" s="34" t="e">
        <f>VLOOKUP(AI4,$B$10:$H$35,6)</f>
        <v>#N/A</v>
      </c>
      <c r="AM4" s="34" t="e">
        <f>VLOOKUP(AI4,$B$10:$H$35,7)</f>
        <v>#N/A</v>
      </c>
      <c r="AT4"/>
      <c r="AU4"/>
    </row>
    <row r="5" spans="2:47" x14ac:dyDescent="0.2">
      <c r="B5" s="30" t="s">
        <v>1</v>
      </c>
      <c r="C5" s="11">
        <v>2</v>
      </c>
      <c r="Y5" s="3"/>
      <c r="Z5" s="3"/>
      <c r="AA5" s="15" t="e">
        <f t="shared" si="0"/>
        <v>#N/A</v>
      </c>
      <c r="AB5" s="15" t="e">
        <f t="shared" si="0"/>
        <v>#N/A</v>
      </c>
      <c r="AC5" s="15" t="e">
        <f t="shared" si="1"/>
        <v>#N/A</v>
      </c>
      <c r="AD5" s="15" t="e">
        <f t="shared" si="1"/>
        <v>#N/A</v>
      </c>
      <c r="AE5" s="4"/>
      <c r="AF5" s="45" t="s">
        <v>55</v>
      </c>
      <c r="AG5" s="45"/>
      <c r="AH5" s="45"/>
      <c r="AI5" s="45"/>
      <c r="AK5" s="50" t="s">
        <v>56</v>
      </c>
      <c r="AL5" s="50"/>
      <c r="AM5" s="50"/>
      <c r="AT5"/>
      <c r="AU5"/>
    </row>
    <row r="6" spans="2:47" x14ac:dyDescent="0.2">
      <c r="B6" s="30" t="s">
        <v>1</v>
      </c>
      <c r="C6" s="11">
        <v>2.5</v>
      </c>
      <c r="Y6" s="3"/>
      <c r="Z6" s="3"/>
      <c r="AA6" s="15" t="e">
        <f t="shared" si="0"/>
        <v>#N/A</v>
      </c>
      <c r="AB6" s="15" t="e">
        <f t="shared" si="0"/>
        <v>#N/A</v>
      </c>
      <c r="AC6" s="15" t="e">
        <f t="shared" si="1"/>
        <v>#N/A</v>
      </c>
      <c r="AD6" s="15" t="e">
        <f t="shared" si="1"/>
        <v>#N/A</v>
      </c>
      <c r="AE6" s="4"/>
      <c r="AF6" s="7" t="s">
        <v>33</v>
      </c>
      <c r="AG6" s="52" t="s">
        <v>31</v>
      </c>
      <c r="AH6" s="53"/>
      <c r="AI6" s="7" t="s">
        <v>32</v>
      </c>
      <c r="AK6" s="7" t="s">
        <v>5</v>
      </c>
      <c r="AL6" s="7" t="s">
        <v>6</v>
      </c>
      <c r="AM6" s="7" t="s">
        <v>7</v>
      </c>
      <c r="AO6" s="7" t="s">
        <v>57</v>
      </c>
      <c r="AP6" s="7" t="s">
        <v>5</v>
      </c>
      <c r="AQ6" s="7" t="s">
        <v>6</v>
      </c>
      <c r="AR6" s="7" t="s">
        <v>7</v>
      </c>
      <c r="AU6"/>
    </row>
    <row r="7" spans="2:47" x14ac:dyDescent="0.2">
      <c r="B7" s="30" t="s">
        <v>34</v>
      </c>
      <c r="C7" s="11">
        <v>3</v>
      </c>
      <c r="Y7" s="3"/>
      <c r="Z7" s="3"/>
      <c r="AA7" s="15" t="e">
        <f t="shared" si="0"/>
        <v>#N/A</v>
      </c>
      <c r="AB7" s="15" t="e">
        <f t="shared" si="0"/>
        <v>#N/A</v>
      </c>
      <c r="AC7" s="15" t="e">
        <f t="shared" si="1"/>
        <v>#N/A</v>
      </c>
      <c r="AD7" s="15" t="e">
        <f t="shared" si="1"/>
        <v>#N/A</v>
      </c>
      <c r="AE7" s="4"/>
      <c r="AF7" s="36" t="str">
        <f t="shared" ref="AF7:AF14" si="2">IF(AND(AI7&gt;=0,AI7&lt;=1),"X","")</f>
        <v/>
      </c>
      <c r="AG7" s="37" t="s">
        <v>9</v>
      </c>
      <c r="AH7" s="37" t="s">
        <v>11</v>
      </c>
      <c r="AI7" s="38" t="str">
        <f>IFERROR(SUMPRODUCT(AP7:AR7,$AP$19:$AR$19)/SUMPRODUCT(AK7:AM7,$AP$19:$AR$19),"")</f>
        <v/>
      </c>
      <c r="AK7" s="39">
        <f t="shared" ref="AK7:AM9" si="3">F11-F10</f>
        <v>0</v>
      </c>
      <c r="AL7" s="39">
        <f t="shared" si="3"/>
        <v>2</v>
      </c>
      <c r="AM7" s="39">
        <f t="shared" si="3"/>
        <v>0</v>
      </c>
      <c r="AO7" s="7" t="str">
        <f>CONCATENATE("A",$AI$2)</f>
        <v>A</v>
      </c>
      <c r="AP7" s="39" t="e">
        <f t="shared" ref="AP7:AR10" si="4">AK$2-F10</f>
        <v>#N/A</v>
      </c>
      <c r="AQ7" s="39" t="e">
        <f t="shared" si="4"/>
        <v>#N/A</v>
      </c>
      <c r="AR7" s="39" t="e">
        <f t="shared" si="4"/>
        <v>#N/A</v>
      </c>
    </row>
    <row r="8" spans="2:47" x14ac:dyDescent="0.2">
      <c r="B8" s="16" t="s">
        <v>41</v>
      </c>
      <c r="Y8" s="3"/>
      <c r="Z8" s="3"/>
      <c r="AA8" s="15" t="e">
        <f t="shared" si="0"/>
        <v>#N/A</v>
      </c>
      <c r="AB8" s="15" t="e">
        <f t="shared" si="0"/>
        <v>#N/A</v>
      </c>
      <c r="AC8" s="15" t="e">
        <f t="shared" si="1"/>
        <v>#N/A</v>
      </c>
      <c r="AD8" s="15" t="e">
        <f t="shared" si="1"/>
        <v>#N/A</v>
      </c>
      <c r="AE8" s="4"/>
      <c r="AF8" s="36" t="str">
        <f t="shared" si="2"/>
        <v/>
      </c>
      <c r="AG8" s="37" t="s">
        <v>11</v>
      </c>
      <c r="AH8" s="37" t="s">
        <v>12</v>
      </c>
      <c r="AI8" s="38" t="str">
        <f t="shared" ref="AI8:AI14" si="5">IFERROR(SUMPRODUCT(AP8:AR8,$AP$19:$AR$19)/SUMPRODUCT(AK8:AM8,$AP$19:$AR$19),"")</f>
        <v/>
      </c>
      <c r="AK8" s="39">
        <f t="shared" si="3"/>
        <v>-2.5</v>
      </c>
      <c r="AL8" s="39">
        <f t="shared" si="3"/>
        <v>0</v>
      </c>
      <c r="AM8" s="39">
        <f t="shared" si="3"/>
        <v>0</v>
      </c>
      <c r="AO8" s="7" t="str">
        <f>CONCATENATE("B",$AI$2)</f>
        <v>B</v>
      </c>
      <c r="AP8" s="39" t="e">
        <f t="shared" si="4"/>
        <v>#N/A</v>
      </c>
      <c r="AQ8" s="39" t="e">
        <f t="shared" si="4"/>
        <v>#N/A</v>
      </c>
      <c r="AR8" s="39" t="e">
        <f t="shared" si="4"/>
        <v>#N/A</v>
      </c>
    </row>
    <row r="9" spans="2:47" x14ac:dyDescent="0.2">
      <c r="B9" s="25"/>
      <c r="C9" s="9" t="s">
        <v>5</v>
      </c>
      <c r="D9" s="9" t="s">
        <v>6</v>
      </c>
      <c r="E9" s="9" t="s">
        <v>7</v>
      </c>
      <c r="F9" s="7" t="s">
        <v>5</v>
      </c>
      <c r="G9" s="7" t="s">
        <v>6</v>
      </c>
      <c r="H9" s="7" t="s">
        <v>7</v>
      </c>
      <c r="I9" s="41" t="s">
        <v>3</v>
      </c>
      <c r="J9" s="7" t="s">
        <v>4</v>
      </c>
      <c r="Y9" s="3"/>
      <c r="Z9" s="3"/>
      <c r="AA9" s="15" t="e">
        <f t="shared" si="0"/>
        <v>#N/A</v>
      </c>
      <c r="AB9" s="15" t="e">
        <f t="shared" si="0"/>
        <v>#N/A</v>
      </c>
      <c r="AC9" s="15" t="e">
        <f t="shared" si="1"/>
        <v>#N/A</v>
      </c>
      <c r="AD9" s="15" t="e">
        <f t="shared" si="1"/>
        <v>#N/A</v>
      </c>
      <c r="AE9" s="4"/>
      <c r="AF9" s="36" t="str">
        <f t="shared" si="2"/>
        <v/>
      </c>
      <c r="AG9" s="37" t="s">
        <v>12</v>
      </c>
      <c r="AH9" s="37" t="s">
        <v>14</v>
      </c>
      <c r="AI9" s="38" t="str">
        <f t="shared" si="5"/>
        <v/>
      </c>
      <c r="AK9" s="39">
        <f t="shared" si="3"/>
        <v>0</v>
      </c>
      <c r="AL9" s="39">
        <f t="shared" si="3"/>
        <v>-2</v>
      </c>
      <c r="AM9" s="39">
        <f t="shared" si="3"/>
        <v>0</v>
      </c>
      <c r="AO9" s="7" t="str">
        <f>CONCATENATE("C",$AI$2)</f>
        <v>C</v>
      </c>
      <c r="AP9" s="39" t="e">
        <f t="shared" si="4"/>
        <v>#N/A</v>
      </c>
      <c r="AQ9" s="39" t="e">
        <f t="shared" si="4"/>
        <v>#N/A</v>
      </c>
      <c r="AR9" s="39" t="e">
        <f t="shared" si="4"/>
        <v>#N/A</v>
      </c>
    </row>
    <row r="10" spans="2:47" x14ac:dyDescent="0.2">
      <c r="B10" s="9" t="s">
        <v>9</v>
      </c>
      <c r="C10" s="26">
        <f>$C$6/2</f>
        <v>1.25</v>
      </c>
      <c r="D10" s="26">
        <f>-$C$5/2</f>
        <v>-1</v>
      </c>
      <c r="E10" s="26">
        <f>-$C$7/2</f>
        <v>-1.5</v>
      </c>
      <c r="F10" s="17">
        <f t="shared" ref="F10:H15" si="6">C10</f>
        <v>1.25</v>
      </c>
      <c r="G10" s="17">
        <f t="shared" si="6"/>
        <v>-1</v>
      </c>
      <c r="H10" s="17">
        <f t="shared" si="6"/>
        <v>-1.5</v>
      </c>
      <c r="I10" s="18">
        <f t="shared" ref="I10:I15" si="7">-C10*SIN($AR$2)+D10*COS($AR$2)</f>
        <v>-1.6003431635852619</v>
      </c>
      <c r="J10" s="15">
        <f t="shared" ref="J10:J15" si="8">-C10*SIN($AR$3)*COS($AR$2)-D10*SIN($AR$3)*SIN($AR$2)+E10*COS($AR$3)</f>
        <v>-1.4223441889406705</v>
      </c>
      <c r="Y10" s="3"/>
      <c r="Z10" s="3"/>
      <c r="AA10" s="15" t="e">
        <f t="shared" si="0"/>
        <v>#N/A</v>
      </c>
      <c r="AB10" s="15" t="e">
        <f t="shared" si="0"/>
        <v>#N/A</v>
      </c>
      <c r="AC10" s="15" t="e">
        <f t="shared" si="1"/>
        <v>#N/A</v>
      </c>
      <c r="AD10" s="15" t="e">
        <f t="shared" si="1"/>
        <v>#N/A</v>
      </c>
      <c r="AE10" s="4"/>
      <c r="AF10" s="36" t="str">
        <f t="shared" si="2"/>
        <v/>
      </c>
      <c r="AG10" s="37" t="s">
        <v>14</v>
      </c>
      <c r="AH10" s="37" t="s">
        <v>9</v>
      </c>
      <c r="AI10" s="38" t="str">
        <f t="shared" si="5"/>
        <v/>
      </c>
      <c r="AK10" s="39">
        <f>F10-F13</f>
        <v>2.5</v>
      </c>
      <c r="AL10" s="39">
        <f>G10-G13</f>
        <v>0</v>
      </c>
      <c r="AM10" s="39">
        <f>H10-H13</f>
        <v>0</v>
      </c>
      <c r="AO10" s="7" t="str">
        <f>CONCATENATE("D",$AI$2)</f>
        <v>D</v>
      </c>
      <c r="AP10" s="39" t="e">
        <f t="shared" si="4"/>
        <v>#N/A</v>
      </c>
      <c r="AQ10" s="39" t="e">
        <f t="shared" si="4"/>
        <v>#N/A</v>
      </c>
      <c r="AR10" s="39" t="e">
        <f t="shared" si="4"/>
        <v>#N/A</v>
      </c>
    </row>
    <row r="11" spans="2:47" x14ac:dyDescent="0.2">
      <c r="B11" s="9" t="s">
        <v>11</v>
      </c>
      <c r="C11" s="26">
        <f>$C$6/2</f>
        <v>1.25</v>
      </c>
      <c r="D11" s="26">
        <f>$C$5/2</f>
        <v>1</v>
      </c>
      <c r="E11" s="26">
        <f>-$C$7/2</f>
        <v>-1.5</v>
      </c>
      <c r="F11" s="17">
        <f t="shared" si="6"/>
        <v>1.25</v>
      </c>
      <c r="G11" s="17">
        <f t="shared" si="6"/>
        <v>1</v>
      </c>
      <c r="H11" s="17">
        <f t="shared" si="6"/>
        <v>-1.5</v>
      </c>
      <c r="I11" s="18">
        <f t="shared" si="7"/>
        <v>-0.31476794421218313</v>
      </c>
      <c r="J11" s="15">
        <f t="shared" si="8"/>
        <v>-1.9463494493994402</v>
      </c>
      <c r="Y11" s="3"/>
      <c r="Z11" s="3"/>
      <c r="AA11" s="15" t="e">
        <f t="shared" si="0"/>
        <v>#N/A</v>
      </c>
      <c r="AB11" s="15" t="e">
        <f t="shared" si="0"/>
        <v>#N/A</v>
      </c>
      <c r="AC11" s="15" t="e">
        <f t="shared" si="1"/>
        <v>#N/A</v>
      </c>
      <c r="AD11" s="15" t="e">
        <f t="shared" si="1"/>
        <v>#N/A</v>
      </c>
      <c r="AE11" s="4"/>
      <c r="AF11" s="36" t="str">
        <f t="shared" si="2"/>
        <v/>
      </c>
      <c r="AG11" s="37" t="s">
        <v>9</v>
      </c>
      <c r="AH11" s="37" t="s">
        <v>15</v>
      </c>
      <c r="AI11" s="38" t="str">
        <f t="shared" si="5"/>
        <v/>
      </c>
      <c r="AK11" s="39">
        <f>F14-F10</f>
        <v>-1.25</v>
      </c>
      <c r="AL11" s="39">
        <f>G14-G10</f>
        <v>1</v>
      </c>
      <c r="AM11" s="39">
        <f>H14-H10</f>
        <v>3</v>
      </c>
      <c r="AO11" s="7" t="str">
        <f>CONCATENATE("A",$AI$2)</f>
        <v>A</v>
      </c>
      <c r="AP11" s="39" t="e">
        <f t="shared" ref="AP11:AR14" si="9">AK$2-F10</f>
        <v>#N/A</v>
      </c>
      <c r="AQ11" s="39" t="e">
        <f t="shared" si="9"/>
        <v>#N/A</v>
      </c>
      <c r="AR11" s="39" t="e">
        <f t="shared" si="9"/>
        <v>#N/A</v>
      </c>
    </row>
    <row r="12" spans="2:47" x14ac:dyDescent="0.2">
      <c r="B12" s="9" t="s">
        <v>12</v>
      </c>
      <c r="C12" s="26">
        <f>-$C$6/2</f>
        <v>-1.25</v>
      </c>
      <c r="D12" s="26">
        <f>$C$5/2</f>
        <v>1</v>
      </c>
      <c r="E12" s="26">
        <f>-$C$7/2</f>
        <v>-1.5</v>
      </c>
      <c r="F12" s="17">
        <f t="shared" si="6"/>
        <v>-1.25</v>
      </c>
      <c r="G12" s="17">
        <f t="shared" si="6"/>
        <v>1</v>
      </c>
      <c r="H12" s="17">
        <f t="shared" si="6"/>
        <v>-1.5</v>
      </c>
      <c r="I12" s="18">
        <f t="shared" si="7"/>
        <v>1.6003431635852619</v>
      </c>
      <c r="J12" s="15">
        <f t="shared" si="8"/>
        <v>-1.3967336734170548</v>
      </c>
      <c r="Y12" s="3"/>
      <c r="Z12" s="3"/>
      <c r="AA12" s="15" t="e">
        <f t="shared" si="0"/>
        <v>#N/A</v>
      </c>
      <c r="AB12" s="15" t="e">
        <f t="shared" si="0"/>
        <v>#N/A</v>
      </c>
      <c r="AC12" s="15" t="e">
        <f t="shared" si="1"/>
        <v>#N/A</v>
      </c>
      <c r="AD12" s="15" t="e">
        <f t="shared" si="1"/>
        <v>#N/A</v>
      </c>
      <c r="AE12" s="4"/>
      <c r="AF12" s="36" t="str">
        <f t="shared" si="2"/>
        <v/>
      </c>
      <c r="AG12" s="37" t="s">
        <v>11</v>
      </c>
      <c r="AH12" s="37" t="s">
        <v>15</v>
      </c>
      <c r="AI12" s="38" t="str">
        <f t="shared" si="5"/>
        <v/>
      </c>
      <c r="AK12" s="40">
        <f>F14-F11</f>
        <v>-1.25</v>
      </c>
      <c r="AL12" s="40">
        <f>G14-G11</f>
        <v>-1</v>
      </c>
      <c r="AM12" s="40">
        <f>H14-H11</f>
        <v>3</v>
      </c>
      <c r="AO12" s="7" t="str">
        <f>CONCATENATE("B",$AI$2)</f>
        <v>B</v>
      </c>
      <c r="AP12" s="39" t="e">
        <f t="shared" si="9"/>
        <v>#N/A</v>
      </c>
      <c r="AQ12" s="39" t="e">
        <f t="shared" si="9"/>
        <v>#N/A</v>
      </c>
      <c r="AR12" s="39" t="e">
        <f t="shared" si="9"/>
        <v>#N/A</v>
      </c>
    </row>
    <row r="13" spans="2:47" x14ac:dyDescent="0.2">
      <c r="B13" s="9" t="s">
        <v>14</v>
      </c>
      <c r="C13" s="26">
        <f>-$C$6/2</f>
        <v>-1.25</v>
      </c>
      <c r="D13" s="26">
        <f>-$C$5/2</f>
        <v>-1</v>
      </c>
      <c r="E13" s="26">
        <f>-$C$7/2</f>
        <v>-1.5</v>
      </c>
      <c r="F13" s="17">
        <f t="shared" si="6"/>
        <v>-1.25</v>
      </c>
      <c r="G13" s="17">
        <f t="shared" si="6"/>
        <v>-1</v>
      </c>
      <c r="H13" s="17">
        <f t="shared" si="6"/>
        <v>-1.5</v>
      </c>
      <c r="I13" s="18">
        <f t="shared" si="7"/>
        <v>0.31476794421218313</v>
      </c>
      <c r="J13" s="15">
        <f t="shared" si="8"/>
        <v>-0.87272841295828507</v>
      </c>
      <c r="Y13" s="3"/>
      <c r="Z13" s="3"/>
      <c r="AA13" s="15" t="e">
        <f t="shared" si="0"/>
        <v>#N/A</v>
      </c>
      <c r="AB13" s="15" t="e">
        <f t="shared" si="0"/>
        <v>#N/A</v>
      </c>
      <c r="AC13" s="15" t="e">
        <f t="shared" si="1"/>
        <v>#N/A</v>
      </c>
      <c r="AD13" s="15" t="e">
        <f t="shared" si="1"/>
        <v>#N/A</v>
      </c>
      <c r="AE13" s="4"/>
      <c r="AF13" s="36" t="str">
        <f t="shared" si="2"/>
        <v/>
      </c>
      <c r="AG13" s="37" t="s">
        <v>12</v>
      </c>
      <c r="AH13" s="37" t="s">
        <v>15</v>
      </c>
      <c r="AI13" s="38" t="str">
        <f t="shared" si="5"/>
        <v/>
      </c>
      <c r="AK13" s="40">
        <f>F14-F12</f>
        <v>1.25</v>
      </c>
      <c r="AL13" s="40">
        <f>G14-G12</f>
        <v>-1</v>
      </c>
      <c r="AM13" s="40">
        <f>H14-H12</f>
        <v>3</v>
      </c>
      <c r="AO13" s="7" t="str">
        <f>CONCATENATE("C",$AI$2)</f>
        <v>C</v>
      </c>
      <c r="AP13" s="39" t="e">
        <f t="shared" si="9"/>
        <v>#N/A</v>
      </c>
      <c r="AQ13" s="39" t="e">
        <f t="shared" si="9"/>
        <v>#N/A</v>
      </c>
      <c r="AR13" s="39" t="e">
        <f t="shared" si="9"/>
        <v>#N/A</v>
      </c>
    </row>
    <row r="14" spans="2:47" x14ac:dyDescent="0.2">
      <c r="B14" s="9" t="s">
        <v>15</v>
      </c>
      <c r="C14" s="26">
        <v>0</v>
      </c>
      <c r="D14" s="26">
        <v>0</v>
      </c>
      <c r="E14" s="26">
        <f>C7/2</f>
        <v>1.5</v>
      </c>
      <c r="F14" s="17">
        <f t="shared" si="6"/>
        <v>0</v>
      </c>
      <c r="G14" s="17">
        <f t="shared" si="6"/>
        <v>0</v>
      </c>
      <c r="H14" s="17">
        <f t="shared" si="6"/>
        <v>1.5</v>
      </c>
      <c r="I14" s="18">
        <f t="shared" si="7"/>
        <v>0</v>
      </c>
      <c r="J14" s="15">
        <f t="shared" si="8"/>
        <v>1.4095389311788626</v>
      </c>
      <c r="Y14" s="3"/>
      <c r="Z14" s="3"/>
      <c r="AA14" s="15" t="e">
        <f t="shared" si="0"/>
        <v>#N/A</v>
      </c>
      <c r="AB14" s="15" t="e">
        <f t="shared" si="0"/>
        <v>#N/A</v>
      </c>
      <c r="AC14" s="15" t="e">
        <f t="shared" si="1"/>
        <v>#N/A</v>
      </c>
      <c r="AD14" s="15" t="e">
        <f t="shared" si="1"/>
        <v>#N/A</v>
      </c>
      <c r="AE14" s="4"/>
      <c r="AF14" s="36" t="str">
        <f t="shared" si="2"/>
        <v/>
      </c>
      <c r="AG14" s="37" t="s">
        <v>14</v>
      </c>
      <c r="AH14" s="37" t="s">
        <v>15</v>
      </c>
      <c r="AI14" s="38" t="str">
        <f t="shared" si="5"/>
        <v/>
      </c>
      <c r="AK14" s="39">
        <f>F14-F13</f>
        <v>1.25</v>
      </c>
      <c r="AL14" s="39">
        <f>G14-G13</f>
        <v>1</v>
      </c>
      <c r="AM14" s="39">
        <f>H14-H13</f>
        <v>3</v>
      </c>
      <c r="AO14" s="7" t="str">
        <f>CONCATENATE("D",$AI$2)</f>
        <v>D</v>
      </c>
      <c r="AP14" s="39" t="e">
        <f t="shared" si="9"/>
        <v>#N/A</v>
      </c>
      <c r="AQ14" s="39" t="e">
        <f t="shared" si="9"/>
        <v>#N/A</v>
      </c>
      <c r="AR14" s="39" t="e">
        <f t="shared" si="9"/>
        <v>#N/A</v>
      </c>
    </row>
    <row r="15" spans="2:47" x14ac:dyDescent="0.2">
      <c r="B15" s="9" t="s">
        <v>17</v>
      </c>
      <c r="C15" s="26">
        <v>0</v>
      </c>
      <c r="D15" s="26">
        <v>0</v>
      </c>
      <c r="E15" s="26">
        <f>-C7/2</f>
        <v>-1.5</v>
      </c>
      <c r="F15" s="17">
        <f t="shared" si="6"/>
        <v>0</v>
      </c>
      <c r="G15" s="17">
        <f t="shared" si="6"/>
        <v>0</v>
      </c>
      <c r="H15" s="17">
        <f t="shared" si="6"/>
        <v>-1.5</v>
      </c>
      <c r="I15" s="18">
        <f t="shared" si="7"/>
        <v>0</v>
      </c>
      <c r="J15" s="15">
        <f t="shared" si="8"/>
        <v>-1.4095389311788626</v>
      </c>
      <c r="Y15" s="3"/>
      <c r="Z15" s="3"/>
      <c r="AA15" s="15" t="e">
        <f t="shared" si="0"/>
        <v>#N/A</v>
      </c>
      <c r="AB15" s="15" t="e">
        <f t="shared" si="0"/>
        <v>#N/A</v>
      </c>
      <c r="AC15" s="15" t="e">
        <f t="shared" si="1"/>
        <v>#N/A</v>
      </c>
      <c r="AD15" s="15" t="e">
        <f t="shared" si="1"/>
        <v>#N/A</v>
      </c>
      <c r="AE15" s="4"/>
      <c r="AF15" s="48" t="s">
        <v>61</v>
      </c>
      <c r="AG15" s="48"/>
      <c r="AH15" s="48"/>
      <c r="AI15" s="48"/>
      <c r="AO15" s="50" t="s">
        <v>58</v>
      </c>
      <c r="AP15" s="50"/>
      <c r="AQ15" s="50"/>
      <c r="AR15" s="50"/>
    </row>
    <row r="16" spans="2:47" x14ac:dyDescent="0.2">
      <c r="B16" s="27" t="s">
        <v>35</v>
      </c>
      <c r="C16" s="5"/>
      <c r="D16" s="5"/>
      <c r="E16" s="6"/>
      <c r="F16" s="19" t="e">
        <f>VLOOKUP(C16,$B$10:$H15,5)+(VLOOKUP(D16,$B$10:$H15,5)-VLOOKUP(C16,$B$10:$H15,5))*$E16</f>
        <v>#N/A</v>
      </c>
      <c r="G16" s="19" t="e">
        <f>VLOOKUP(C16,$B$10:$H15,6)+(VLOOKUP(D16,$B$10:$H15,6)-VLOOKUP(C16,$B$10:$H15,6))*$E16</f>
        <v>#N/A</v>
      </c>
      <c r="H16" s="19" t="e">
        <f>VLOOKUP(C16,$B$10:$H15,7)+(VLOOKUP(D16,$B$10:$H15,7)-VLOOKUP(C16,$B$10:$H15,7))*$E16</f>
        <v>#N/A</v>
      </c>
      <c r="I16" s="20" t="e">
        <f t="shared" ref="I16:I35" si="10">-F16*SIN($AR$2)+G16*COS($AR$2)</f>
        <v>#N/A</v>
      </c>
      <c r="J16" s="21" t="e">
        <f t="shared" ref="J16:J35" si="11">-F16*SIN($AR$3)*COS($AR$2)-G16*SIN($AR$3)*SIN($AR$2)+H16*COS($AR$3)</f>
        <v>#N/A</v>
      </c>
      <c r="Y16" s="3"/>
      <c r="Z16" s="3"/>
      <c r="AA16" s="15" t="e">
        <f t="shared" si="0"/>
        <v>#N/A</v>
      </c>
      <c r="AB16" s="15" t="e">
        <f t="shared" si="0"/>
        <v>#N/A</v>
      </c>
      <c r="AC16" s="15" t="e">
        <f t="shared" si="1"/>
        <v>#N/A</v>
      </c>
      <c r="AD16" s="15" t="e">
        <f t="shared" si="1"/>
        <v>#N/A</v>
      </c>
      <c r="AE16" s="4"/>
      <c r="AF16" s="49"/>
      <c r="AG16" s="49"/>
      <c r="AH16" s="49"/>
      <c r="AI16" s="49"/>
      <c r="AO16" s="7" t="str">
        <f>CONCATENATE(AI2,AI3)</f>
        <v/>
      </c>
      <c r="AP16" s="39" t="e">
        <f>AK3-AK2</f>
        <v>#N/A</v>
      </c>
      <c r="AQ16" s="39" t="e">
        <f>AL3-AL2</f>
        <v>#N/A</v>
      </c>
      <c r="AR16" s="39" t="e">
        <f>AM3-AM2</f>
        <v>#N/A</v>
      </c>
    </row>
    <row r="17" spans="2:44" x14ac:dyDescent="0.2">
      <c r="B17" s="27" t="s">
        <v>36</v>
      </c>
      <c r="C17" s="5"/>
      <c r="D17" s="5"/>
      <c r="E17" s="6"/>
      <c r="F17" s="19" t="e">
        <f>VLOOKUP(C17,$B$10:$H16,5)+(VLOOKUP(D17,$B$10:$H16,5)-VLOOKUP(C17,$B$10:$H16,5))*$E17</f>
        <v>#N/A</v>
      </c>
      <c r="G17" s="19" t="e">
        <f>VLOOKUP(C17,$B$10:$H16,6)+(VLOOKUP(D17,$B$10:$H16,6)-VLOOKUP(C17,$B$10:$H16,6))*$E17</f>
        <v>#N/A</v>
      </c>
      <c r="H17" s="19" t="e">
        <f>VLOOKUP(C17,$B$10:$H16,7)+(VLOOKUP(D17,$B$10:$H16,7)-VLOOKUP(C17,$B$10:$H16,7))*$E17</f>
        <v>#N/A</v>
      </c>
      <c r="I17" s="20" t="e">
        <f t="shared" si="10"/>
        <v>#N/A</v>
      </c>
      <c r="J17" s="21" t="e">
        <f t="shared" si="11"/>
        <v>#N/A</v>
      </c>
      <c r="Y17" s="3"/>
      <c r="Z17" s="3"/>
      <c r="AA17" s="15" t="e">
        <f t="shared" si="0"/>
        <v>#N/A</v>
      </c>
      <c r="AB17" s="15" t="e">
        <f t="shared" si="0"/>
        <v>#N/A</v>
      </c>
      <c r="AC17" s="15" t="e">
        <f t="shared" si="1"/>
        <v>#N/A</v>
      </c>
      <c r="AD17" s="15" t="e">
        <f t="shared" si="1"/>
        <v>#N/A</v>
      </c>
      <c r="AE17" s="4"/>
      <c r="AF17" s="49"/>
      <c r="AG17" s="49"/>
      <c r="AH17" s="49"/>
      <c r="AI17" s="49"/>
      <c r="AO17" s="7" t="str">
        <f>CONCATENATE(AI2,AI4)</f>
        <v/>
      </c>
      <c r="AP17" s="39" t="e">
        <f>AK4-AK2</f>
        <v>#N/A</v>
      </c>
      <c r="AQ17" s="39" t="e">
        <f>AL4-AL2</f>
        <v>#N/A</v>
      </c>
      <c r="AR17" s="39" t="e">
        <f>AM4-AM2</f>
        <v>#N/A</v>
      </c>
    </row>
    <row r="18" spans="2:44" x14ac:dyDescent="0.2">
      <c r="B18" s="27" t="s">
        <v>8</v>
      </c>
      <c r="C18" s="5"/>
      <c r="D18" s="5"/>
      <c r="E18" s="6"/>
      <c r="F18" s="19" t="e">
        <f>VLOOKUP(C18,$B$10:$H17,5)+(VLOOKUP(D18,$B$10:$H17,5)-VLOOKUP(C18,$B$10:$H17,5))*$E18</f>
        <v>#N/A</v>
      </c>
      <c r="G18" s="19" t="e">
        <f>VLOOKUP(C18,$B$10:$H17,6)+(VLOOKUP(D18,$B$10:$H17,6)-VLOOKUP(C18,$B$10:$H17,6))*$E18</f>
        <v>#N/A</v>
      </c>
      <c r="H18" s="19" t="e">
        <f>VLOOKUP(C18,$B$10:$H17,7)+(VLOOKUP(D18,$B$10:$H17,7)-VLOOKUP(C18,$B$10:$H17,7))*$E18</f>
        <v>#N/A</v>
      </c>
      <c r="I18" s="20" t="e">
        <f t="shared" si="10"/>
        <v>#N/A</v>
      </c>
      <c r="J18" s="21" t="e">
        <f t="shared" si="11"/>
        <v>#N/A</v>
      </c>
      <c r="Y18" s="3"/>
      <c r="Z18" s="3"/>
      <c r="AA18" s="15" t="e">
        <f t="shared" si="0"/>
        <v>#N/A</v>
      </c>
      <c r="AB18" s="15" t="e">
        <f t="shared" si="0"/>
        <v>#N/A</v>
      </c>
      <c r="AC18" s="15" t="e">
        <f t="shared" si="1"/>
        <v>#N/A</v>
      </c>
      <c r="AD18" s="15" t="e">
        <f t="shared" si="1"/>
        <v>#N/A</v>
      </c>
      <c r="AE18" s="4"/>
      <c r="AF18"/>
      <c r="AG18"/>
      <c r="AH18"/>
      <c r="AI18"/>
      <c r="AO18" s="50" t="s">
        <v>59</v>
      </c>
      <c r="AP18" s="50"/>
      <c r="AQ18" s="50"/>
      <c r="AR18" s="50"/>
    </row>
    <row r="19" spans="2:44" x14ac:dyDescent="0.2">
      <c r="B19" s="28" t="s">
        <v>10</v>
      </c>
      <c r="C19" s="5"/>
      <c r="D19" s="5"/>
      <c r="E19" s="6"/>
      <c r="F19" s="19" t="e">
        <f>VLOOKUP(C19,$B$10:$H18,5)+(VLOOKUP(D19,$B$10:$H18,5)-VLOOKUP(C19,$B$10:$H18,5))*$E19</f>
        <v>#N/A</v>
      </c>
      <c r="G19" s="19" t="e">
        <f>VLOOKUP(C19,$B$10:$H18,6)+(VLOOKUP(D19,$B$10:$H18,6)-VLOOKUP(C19,$B$10:$H18,6))*$E19</f>
        <v>#N/A</v>
      </c>
      <c r="H19" s="19" t="e">
        <f>VLOOKUP(C19,$B$10:$H18,7)+(VLOOKUP(D19,$B$10:$H18,7)-VLOOKUP(C19,$B$10:$H18,7))*$E19</f>
        <v>#N/A</v>
      </c>
      <c r="I19" s="20" t="e">
        <f t="shared" si="10"/>
        <v>#N/A</v>
      </c>
      <c r="J19" s="21" t="e">
        <f t="shared" si="11"/>
        <v>#N/A</v>
      </c>
      <c r="Y19" s="3"/>
      <c r="Z19" s="3"/>
      <c r="AA19" s="15" t="e">
        <f t="shared" si="0"/>
        <v>#N/A</v>
      </c>
      <c r="AB19" s="15" t="e">
        <f t="shared" si="0"/>
        <v>#N/A</v>
      </c>
      <c r="AC19" s="15" t="e">
        <f t="shared" si="1"/>
        <v>#N/A</v>
      </c>
      <c r="AD19" s="15" t="e">
        <f t="shared" si="1"/>
        <v>#N/A</v>
      </c>
      <c r="AE19" s="4"/>
      <c r="AO19" s="7" t="str">
        <f>CONCATENATE(AO16,"x",AO17)</f>
        <v>x</v>
      </c>
      <c r="AP19" s="39" t="e">
        <f>AQ16*AR17-AQ17*AR16</f>
        <v>#N/A</v>
      </c>
      <c r="AQ19" s="39" t="e">
        <f>AR16*AP17-AP16*AR17</f>
        <v>#N/A</v>
      </c>
      <c r="AR19" s="39" t="e">
        <f>AP16*AQ17-AQ16*AP17</f>
        <v>#N/A</v>
      </c>
    </row>
    <row r="20" spans="2:44" x14ac:dyDescent="0.2">
      <c r="B20" s="28" t="s">
        <v>16</v>
      </c>
      <c r="C20" s="5"/>
      <c r="D20" s="5"/>
      <c r="E20" s="6"/>
      <c r="F20" s="19" t="e">
        <f>VLOOKUP(C20,$B$10:$H19,5)+(VLOOKUP(D20,$B$10:$H19,5)-VLOOKUP(C20,$B$10:$H19,5))*$E20</f>
        <v>#N/A</v>
      </c>
      <c r="G20" s="19" t="e">
        <f>VLOOKUP(C20,$B$10:$H19,6)+(VLOOKUP(D20,$B$10:$H19,6)-VLOOKUP(C20,$B$10:$H19,6))*$E20</f>
        <v>#N/A</v>
      </c>
      <c r="H20" s="19" t="e">
        <f>VLOOKUP(C20,$B$10:$H19,7)+(VLOOKUP(D20,$B$10:$H19,7)-VLOOKUP(C20,$B$10:$H19,7))*$E20</f>
        <v>#N/A</v>
      </c>
      <c r="I20" s="20" t="e">
        <f t="shared" si="10"/>
        <v>#N/A</v>
      </c>
      <c r="J20" s="21" t="e">
        <f t="shared" si="11"/>
        <v>#N/A</v>
      </c>
      <c r="Y20" s="3"/>
      <c r="Z20" s="3"/>
      <c r="AA20" s="15" t="e">
        <f t="shared" si="0"/>
        <v>#N/A</v>
      </c>
      <c r="AB20" s="15" t="e">
        <f t="shared" si="0"/>
        <v>#N/A</v>
      </c>
      <c r="AC20" s="15" t="e">
        <f t="shared" si="1"/>
        <v>#N/A</v>
      </c>
      <c r="AD20" s="15" t="e">
        <f t="shared" si="1"/>
        <v>#N/A</v>
      </c>
      <c r="AE20" s="4"/>
    </row>
    <row r="21" spans="2:44" x14ac:dyDescent="0.2">
      <c r="B21" s="28" t="s">
        <v>13</v>
      </c>
      <c r="C21" s="5"/>
      <c r="D21" s="5"/>
      <c r="E21" s="6"/>
      <c r="F21" s="19" t="e">
        <f>VLOOKUP(C21,$B$10:$H20,5)+(VLOOKUP(D21,$B$10:$H20,5)-VLOOKUP(C21,$B$10:$H20,5))*$E21</f>
        <v>#N/A</v>
      </c>
      <c r="G21" s="19" t="e">
        <f>VLOOKUP(C21,$B$10:$H20,6)+(VLOOKUP(D21,$B$10:$H20,6)-VLOOKUP(C21,$B$10:$H20,6))*$E21</f>
        <v>#N/A</v>
      </c>
      <c r="H21" s="19" t="e">
        <f>VLOOKUP(C21,$B$10:$H20,7)+(VLOOKUP(D21,$B$10:$H20,7)-VLOOKUP(C21,$B$10:$H20,7))*$E21</f>
        <v>#N/A</v>
      </c>
      <c r="I21" s="20" t="e">
        <f t="shared" si="10"/>
        <v>#N/A</v>
      </c>
      <c r="J21" s="21" t="e">
        <f t="shared" si="11"/>
        <v>#N/A</v>
      </c>
      <c r="Y21" s="3"/>
      <c r="Z21" s="3"/>
      <c r="AA21" s="15" t="e">
        <f t="shared" si="0"/>
        <v>#N/A</v>
      </c>
      <c r="AB21" s="15" t="e">
        <f t="shared" si="0"/>
        <v>#N/A</v>
      </c>
      <c r="AC21" s="15" t="e">
        <f t="shared" si="1"/>
        <v>#N/A</v>
      </c>
      <c r="AD21" s="15" t="e">
        <f t="shared" si="1"/>
        <v>#N/A</v>
      </c>
      <c r="AE21" s="4"/>
    </row>
    <row r="22" spans="2:44" x14ac:dyDescent="0.2">
      <c r="B22" s="28" t="s">
        <v>18</v>
      </c>
      <c r="C22" s="5"/>
      <c r="D22" s="5"/>
      <c r="E22" s="6"/>
      <c r="F22" s="19" t="e">
        <f>VLOOKUP(C22,$B$10:$H21,5)+(VLOOKUP(D22,$B$10:$H21,5)-VLOOKUP(C22,$B$10:$H21,5))*$E22</f>
        <v>#N/A</v>
      </c>
      <c r="G22" s="19" t="e">
        <f>VLOOKUP(C22,$B$10:$H21,6)+(VLOOKUP(D22,$B$10:$H21,6)-VLOOKUP(C22,$B$10:$H21,6))*$E22</f>
        <v>#N/A</v>
      </c>
      <c r="H22" s="19" t="e">
        <f>VLOOKUP(C22,$B$10:$H21,7)+(VLOOKUP(D22,$B$10:$H21,7)-VLOOKUP(C22,$B$10:$H21,7))*$E22</f>
        <v>#N/A</v>
      </c>
      <c r="I22" s="20" t="e">
        <f t="shared" si="10"/>
        <v>#N/A</v>
      </c>
      <c r="J22" s="21" t="e">
        <f t="shared" si="11"/>
        <v>#N/A</v>
      </c>
      <c r="Y22" s="3"/>
      <c r="Z22" s="3"/>
      <c r="AA22" s="15" t="e">
        <f t="shared" si="0"/>
        <v>#N/A</v>
      </c>
      <c r="AB22" s="15" t="e">
        <f t="shared" si="0"/>
        <v>#N/A</v>
      </c>
      <c r="AC22" s="15" t="e">
        <f t="shared" si="1"/>
        <v>#N/A</v>
      </c>
      <c r="AD22" s="15" t="e">
        <f t="shared" si="1"/>
        <v>#N/A</v>
      </c>
      <c r="AE22" s="4"/>
    </row>
    <row r="23" spans="2:44" x14ac:dyDescent="0.2">
      <c r="B23" s="27" t="s">
        <v>19</v>
      </c>
      <c r="C23" s="5"/>
      <c r="D23" s="5"/>
      <c r="E23" s="6"/>
      <c r="F23" s="19" t="e">
        <f>VLOOKUP(C23,$B$10:$H22,5)+(VLOOKUP(D23,$B$10:$H22,5)-VLOOKUP(C23,$B$10:$H22,5))*$E23</f>
        <v>#N/A</v>
      </c>
      <c r="G23" s="19" t="e">
        <f>VLOOKUP(C23,$B$10:$H22,6)+(VLOOKUP(D23,$B$10:$H22,6)-VLOOKUP(C23,$B$10:$H22,6))*$E23</f>
        <v>#N/A</v>
      </c>
      <c r="H23" s="19" t="e">
        <f>VLOOKUP(C23,$B$10:$H22,7)+(VLOOKUP(D23,$B$10:$H22,7)-VLOOKUP(C23,$B$10:$H22,7))*$E23</f>
        <v>#N/A</v>
      </c>
      <c r="I23" s="20" t="e">
        <f t="shared" si="10"/>
        <v>#N/A</v>
      </c>
      <c r="J23" s="21" t="e">
        <f t="shared" si="11"/>
        <v>#N/A</v>
      </c>
      <c r="Y23" s="3"/>
      <c r="Z23" s="3"/>
      <c r="AA23" s="15" t="e">
        <f t="shared" si="0"/>
        <v>#N/A</v>
      </c>
      <c r="AB23" s="15" t="e">
        <f t="shared" si="0"/>
        <v>#N/A</v>
      </c>
      <c r="AC23" s="15" t="e">
        <f t="shared" si="1"/>
        <v>#N/A</v>
      </c>
      <c r="AD23" s="15" t="e">
        <f t="shared" si="1"/>
        <v>#N/A</v>
      </c>
      <c r="AE23" s="4"/>
    </row>
    <row r="24" spans="2:44" x14ac:dyDescent="0.2">
      <c r="B24" s="28" t="s">
        <v>20</v>
      </c>
      <c r="C24" s="5"/>
      <c r="D24" s="5"/>
      <c r="E24" s="6"/>
      <c r="F24" s="19" t="e">
        <f>VLOOKUP(C24,$B$10:$H23,5)+(VLOOKUP(D24,$B$10:$H23,5)-VLOOKUP(C24,$B$10:$H23,5))*$E24</f>
        <v>#N/A</v>
      </c>
      <c r="G24" s="19" t="e">
        <f>VLOOKUP(C24,$B$10:$H23,6)+(VLOOKUP(D24,$B$10:$H23,6)-VLOOKUP(C24,$B$10:$H23,6))*$E24</f>
        <v>#N/A</v>
      </c>
      <c r="H24" s="19" t="e">
        <f>VLOOKUP(C24,$B$10:$H23,7)+(VLOOKUP(D24,$B$10:$H23,7)-VLOOKUP(C24,$B$10:$H23,7))*$E24</f>
        <v>#N/A</v>
      </c>
      <c r="I24" s="20" t="e">
        <f t="shared" si="10"/>
        <v>#N/A</v>
      </c>
      <c r="J24" s="21" t="e">
        <f t="shared" si="11"/>
        <v>#N/A</v>
      </c>
      <c r="Y24" s="3"/>
      <c r="Z24" s="3"/>
      <c r="AA24" s="15" t="e">
        <f t="shared" si="0"/>
        <v>#N/A</v>
      </c>
      <c r="AB24" s="15" t="e">
        <f t="shared" si="0"/>
        <v>#N/A</v>
      </c>
      <c r="AC24" s="15" t="e">
        <f t="shared" si="1"/>
        <v>#N/A</v>
      </c>
      <c r="AD24" s="15" t="e">
        <f t="shared" si="1"/>
        <v>#N/A</v>
      </c>
      <c r="AE24" s="4"/>
    </row>
    <row r="25" spans="2:44" x14ac:dyDescent="0.2">
      <c r="B25" s="28" t="s">
        <v>21</v>
      </c>
      <c r="C25" s="5"/>
      <c r="D25" s="5"/>
      <c r="E25" s="6"/>
      <c r="F25" s="19" t="e">
        <f>VLOOKUP(C25,$B$10:$H24,5)+(VLOOKUP(D25,$B$10:$H24,5)-VLOOKUP(C25,$B$10:$H24,5))*$E25</f>
        <v>#N/A</v>
      </c>
      <c r="G25" s="19" t="e">
        <f>VLOOKUP(C25,$B$10:$H24,6)+(VLOOKUP(D25,$B$10:$H24,6)-VLOOKUP(C25,$B$10:$H24,6))*$E25</f>
        <v>#N/A</v>
      </c>
      <c r="H25" s="19" t="e">
        <f>VLOOKUP(C25,$B$10:$H24,7)+(VLOOKUP(D25,$B$10:$H24,7)-VLOOKUP(C25,$B$10:$H24,7))*$E25</f>
        <v>#N/A</v>
      </c>
      <c r="I25" s="20" t="e">
        <f t="shared" si="10"/>
        <v>#N/A</v>
      </c>
      <c r="J25" s="21" t="e">
        <f t="shared" si="11"/>
        <v>#N/A</v>
      </c>
      <c r="Y25" s="3"/>
      <c r="Z25" s="3"/>
      <c r="AA25" s="15" t="e">
        <f t="shared" si="0"/>
        <v>#N/A</v>
      </c>
      <c r="AB25" s="15" t="e">
        <f t="shared" si="0"/>
        <v>#N/A</v>
      </c>
      <c r="AC25" s="15" t="e">
        <f t="shared" si="1"/>
        <v>#N/A</v>
      </c>
      <c r="AD25" s="15" t="e">
        <f t="shared" si="1"/>
        <v>#N/A</v>
      </c>
      <c r="AE25" s="4"/>
    </row>
    <row r="26" spans="2:44" x14ac:dyDescent="0.2">
      <c r="B26" s="28" t="s">
        <v>22</v>
      </c>
      <c r="C26" s="5"/>
      <c r="D26" s="5"/>
      <c r="E26" s="6"/>
      <c r="F26" s="19" t="e">
        <f>VLOOKUP(C26,$B$10:$H25,5)+(VLOOKUP(D26,$B$10:$H25,5)-VLOOKUP(C26,$B$10:$H25,5))*$E26</f>
        <v>#N/A</v>
      </c>
      <c r="G26" s="19" t="e">
        <f>VLOOKUP(C26,$B$10:$H25,6)+(VLOOKUP(D26,$B$10:$H25,6)-VLOOKUP(C26,$B$10:$H25,6))*$E26</f>
        <v>#N/A</v>
      </c>
      <c r="H26" s="19" t="e">
        <f>VLOOKUP(C26,$B$10:$H25,7)+(VLOOKUP(D26,$B$10:$H25,7)-VLOOKUP(C26,$B$10:$H25,7))*$E26</f>
        <v>#N/A</v>
      </c>
      <c r="I26" s="20" t="e">
        <f t="shared" si="10"/>
        <v>#N/A</v>
      </c>
      <c r="J26" s="21" t="e">
        <f t="shared" si="11"/>
        <v>#N/A</v>
      </c>
      <c r="Y26" s="3"/>
      <c r="Z26" s="3"/>
      <c r="AA26" s="15" t="e">
        <f t="shared" si="0"/>
        <v>#N/A</v>
      </c>
      <c r="AB26" s="15" t="e">
        <f t="shared" si="0"/>
        <v>#N/A</v>
      </c>
      <c r="AC26" s="15" t="e">
        <f t="shared" si="1"/>
        <v>#N/A</v>
      </c>
      <c r="AD26" s="15" t="e">
        <f t="shared" si="1"/>
        <v>#N/A</v>
      </c>
      <c r="AE26" s="4"/>
      <c r="AI26" s="10"/>
    </row>
    <row r="27" spans="2:44" x14ac:dyDescent="0.2">
      <c r="B27" s="28" t="s">
        <v>23</v>
      </c>
      <c r="C27" s="5"/>
      <c r="D27" s="5"/>
      <c r="E27" s="6"/>
      <c r="F27" s="19" t="e">
        <f>VLOOKUP(C27,$B$10:$H26,5)+(VLOOKUP(D27,$B$10:$H26,5)-VLOOKUP(C27,$B$10:$H26,5))*$E27</f>
        <v>#N/A</v>
      </c>
      <c r="G27" s="19" t="e">
        <f>VLOOKUP(C27,$B$10:$H26,6)+(VLOOKUP(D27,$B$10:$H26,6)-VLOOKUP(C27,$B$10:$H26,6))*$E27</f>
        <v>#N/A</v>
      </c>
      <c r="H27" s="19" t="e">
        <f>VLOOKUP(C27,$B$10:$H26,7)+(VLOOKUP(D27,$B$10:$H26,7)-VLOOKUP(C27,$B$10:$H26,7))*$E27</f>
        <v>#N/A</v>
      </c>
      <c r="I27" s="20" t="e">
        <f t="shared" si="10"/>
        <v>#N/A</v>
      </c>
      <c r="J27" s="21" t="e">
        <f t="shared" si="11"/>
        <v>#N/A</v>
      </c>
      <c r="Y27" s="3"/>
      <c r="Z27" s="3"/>
      <c r="AA27" s="15" t="e">
        <f t="shared" si="0"/>
        <v>#N/A</v>
      </c>
      <c r="AB27" s="15" t="e">
        <f t="shared" si="0"/>
        <v>#N/A</v>
      </c>
      <c r="AC27" s="15" t="e">
        <f t="shared" si="1"/>
        <v>#N/A</v>
      </c>
      <c r="AD27" s="15" t="e">
        <f t="shared" si="1"/>
        <v>#N/A</v>
      </c>
      <c r="AE27" s="4"/>
    </row>
    <row r="28" spans="2:44" x14ac:dyDescent="0.2">
      <c r="B28" s="28" t="s">
        <v>24</v>
      </c>
      <c r="C28" s="5"/>
      <c r="D28" s="5"/>
      <c r="E28" s="6"/>
      <c r="F28" s="19" t="e">
        <f>VLOOKUP(C28,$B$10:$H27,5)+(VLOOKUP(D28,$B$10:$H27,5)-VLOOKUP(C28,$B$10:$H27,5))*$E28</f>
        <v>#N/A</v>
      </c>
      <c r="G28" s="19" t="e">
        <f>VLOOKUP(C28,$B$10:$H27,6)+(VLOOKUP(D28,$B$10:$H27,6)-VLOOKUP(C28,$B$10:$H27,6))*$E28</f>
        <v>#N/A</v>
      </c>
      <c r="H28" s="19" t="e">
        <f>VLOOKUP(C28,$B$10:$H27,7)+(VLOOKUP(D28,$B$10:$H27,7)-VLOOKUP(C28,$B$10:$H27,7))*$E28</f>
        <v>#N/A</v>
      </c>
      <c r="I28" s="20" t="e">
        <f t="shared" si="10"/>
        <v>#N/A</v>
      </c>
      <c r="J28" s="21" t="e">
        <f t="shared" si="11"/>
        <v>#N/A</v>
      </c>
      <c r="Y28" s="51" t="s">
        <v>51</v>
      </c>
      <c r="Z28" s="51"/>
    </row>
    <row r="29" spans="2:44" x14ac:dyDescent="0.2">
      <c r="B29" s="28" t="s">
        <v>25</v>
      </c>
      <c r="C29" s="5"/>
      <c r="D29" s="5"/>
      <c r="E29" s="6"/>
      <c r="F29" s="19" t="e">
        <f>VLOOKUP(C29,$B$10:$H28,5)+(VLOOKUP(D29,$B$10:$H28,5)-VLOOKUP(C29,$B$10:$H28,5))*$E29</f>
        <v>#N/A</v>
      </c>
      <c r="G29" s="19" t="e">
        <f>VLOOKUP(C29,$B$10:$H28,6)+(VLOOKUP(D29,$B$10:$H28,6)-VLOOKUP(C29,$B$10:$H28,6))*$E29</f>
        <v>#N/A</v>
      </c>
      <c r="H29" s="19" t="e">
        <f>VLOOKUP(C29,$B$10:$H28,7)+(VLOOKUP(D29,$B$10:$H28,7)-VLOOKUP(C29,$B$10:$H28,7))*$E29</f>
        <v>#N/A</v>
      </c>
      <c r="I29" s="20" t="e">
        <f t="shared" si="10"/>
        <v>#N/A</v>
      </c>
      <c r="J29" s="21" t="e">
        <f t="shared" si="11"/>
        <v>#N/A</v>
      </c>
    </row>
    <row r="30" spans="2:44" x14ac:dyDescent="0.2">
      <c r="B30" s="28" t="s">
        <v>26</v>
      </c>
      <c r="C30" s="5"/>
      <c r="D30" s="5"/>
      <c r="E30" s="6"/>
      <c r="F30" s="19" t="e">
        <f>VLOOKUP(C30,$B$10:$H29,5)+(VLOOKUP(D30,$B$10:$H29,5)-VLOOKUP(C30,$B$10:$H29,5))*$E30</f>
        <v>#N/A</v>
      </c>
      <c r="G30" s="19" t="e">
        <f>VLOOKUP(C30,$B$10:$H29,6)+(VLOOKUP(D30,$B$10:$H29,6)-VLOOKUP(C30,$B$10:$H29,6))*$E30</f>
        <v>#N/A</v>
      </c>
      <c r="H30" s="19" t="e">
        <f>VLOOKUP(C30,$B$10:$H29,7)+(VLOOKUP(D30,$B$10:$H29,7)-VLOOKUP(C30,$B$10:$H29,7))*$E30</f>
        <v>#N/A</v>
      </c>
      <c r="I30" s="20" t="e">
        <f t="shared" si="10"/>
        <v>#N/A</v>
      </c>
      <c r="J30" s="21" t="e">
        <f t="shared" si="11"/>
        <v>#N/A</v>
      </c>
      <c r="Y30" s="32">
        <v>-2.75</v>
      </c>
      <c r="Z30" s="32">
        <v>2.75</v>
      </c>
    </row>
    <row r="31" spans="2:44" x14ac:dyDescent="0.2">
      <c r="B31" s="28" t="s">
        <v>27</v>
      </c>
      <c r="C31" s="5"/>
      <c r="D31" s="5"/>
      <c r="E31" s="6"/>
      <c r="F31" s="19" t="e">
        <f>VLOOKUP(C31,$B$10:$H30,5)+(VLOOKUP(D31,$B$10:$H30,5)-VLOOKUP(C31,$B$10:$H30,5))*$E31</f>
        <v>#N/A</v>
      </c>
      <c r="G31" s="19" t="e">
        <f>VLOOKUP(C31,$B$10:$H30,6)+(VLOOKUP(D31,$B$10:$H30,6)-VLOOKUP(C31,$B$10:$H30,6))*$E31</f>
        <v>#N/A</v>
      </c>
      <c r="H31" s="19" t="e">
        <f>VLOOKUP(C31,$B$10:$H30,7)+(VLOOKUP(D31,$B$10:$H30,7)-VLOOKUP(C31,$B$10:$H30,7))*$E31</f>
        <v>#N/A</v>
      </c>
      <c r="I31" s="20" t="e">
        <f t="shared" si="10"/>
        <v>#N/A</v>
      </c>
      <c r="J31" s="21" t="e">
        <f t="shared" si="11"/>
        <v>#N/A</v>
      </c>
      <c r="Y31" s="51" t="s">
        <v>52</v>
      </c>
      <c r="Z31" s="51"/>
    </row>
    <row r="32" spans="2:44" x14ac:dyDescent="0.2">
      <c r="B32" s="28" t="s">
        <v>37</v>
      </c>
      <c r="C32" s="5"/>
      <c r="D32" s="5"/>
      <c r="E32" s="6"/>
      <c r="F32" s="19" t="e">
        <f>VLOOKUP(C32,$B$10:$H31,5)+(VLOOKUP(D32,$B$10:$H31,5)-VLOOKUP(C32,$B$10:$H31,5))*$E32</f>
        <v>#N/A</v>
      </c>
      <c r="G32" s="19" t="e">
        <f>VLOOKUP(C32,$B$10:$H31,6)+(VLOOKUP(D32,$B$10:$H31,6)-VLOOKUP(C32,$B$10:$H31,6))*$E32</f>
        <v>#N/A</v>
      </c>
      <c r="H32" s="19" t="e">
        <f>VLOOKUP(C32,$B$10:$H31,7)+(VLOOKUP(D32,$B$10:$H31,7)-VLOOKUP(C32,$B$10:$H31,7))*$E32</f>
        <v>#N/A</v>
      </c>
      <c r="I32" s="20" t="e">
        <f t="shared" si="10"/>
        <v>#N/A</v>
      </c>
      <c r="J32" s="21" t="e">
        <f t="shared" si="11"/>
        <v>#N/A</v>
      </c>
      <c r="Q32" s="22" t="s">
        <v>50</v>
      </c>
    </row>
    <row r="33" spans="2:20" x14ac:dyDescent="0.2">
      <c r="B33" s="28" t="s">
        <v>28</v>
      </c>
      <c r="C33" s="5"/>
      <c r="D33" s="5"/>
      <c r="E33" s="6"/>
      <c r="F33" s="19" t="e">
        <f>VLOOKUP(C33,$B$10:$H32,5)+(VLOOKUP(D33,$B$10:$H32,5)-VLOOKUP(C33,$B$10:$H32,5))*$E33</f>
        <v>#N/A</v>
      </c>
      <c r="G33" s="19" t="e">
        <f>VLOOKUP(C33,$B$10:$H32,6)+(VLOOKUP(D33,$B$10:$H32,6)-VLOOKUP(C33,$B$10:$H32,6))*$E33</f>
        <v>#N/A</v>
      </c>
      <c r="H33" s="19" t="e">
        <f>VLOOKUP(C33,$B$10:$H32,7)+(VLOOKUP(D33,$B$10:$H32,7)-VLOOKUP(C33,$B$10:$H32,7))*$E33</f>
        <v>#N/A</v>
      </c>
      <c r="I33" s="20" t="e">
        <f t="shared" si="10"/>
        <v>#N/A</v>
      </c>
      <c r="J33" s="21" t="e">
        <f t="shared" si="11"/>
        <v>#N/A</v>
      </c>
    </row>
    <row r="34" spans="2:20" x14ac:dyDescent="0.2">
      <c r="B34" s="28" t="s">
        <v>29</v>
      </c>
      <c r="C34" s="5"/>
      <c r="D34" s="5"/>
      <c r="E34" s="6"/>
      <c r="F34" s="19" t="e">
        <f>VLOOKUP(C34,$B$10:$H33,5)+(VLOOKUP(D34,$B$10:$H33,5)-VLOOKUP(C34,$B$10:$H33,5))*$E34</f>
        <v>#N/A</v>
      </c>
      <c r="G34" s="19" t="e">
        <f>VLOOKUP(C34,$B$10:$H33,6)+(VLOOKUP(D34,$B$10:$H33,6)-VLOOKUP(C34,$B$10:$H33,6))*$E34</f>
        <v>#N/A</v>
      </c>
      <c r="H34" s="19" t="e">
        <f>VLOOKUP(C34,$B$10:$H33,7)+(VLOOKUP(D34,$B$10:$H33,7)-VLOOKUP(C34,$B$10:$H33,7))*$E34</f>
        <v>#N/A</v>
      </c>
      <c r="I34" s="20" t="e">
        <f t="shared" si="10"/>
        <v>#N/A</v>
      </c>
      <c r="J34" s="21" t="e">
        <f t="shared" si="11"/>
        <v>#N/A</v>
      </c>
    </row>
    <row r="35" spans="2:20" x14ac:dyDescent="0.2">
      <c r="B35" s="28" t="s">
        <v>30</v>
      </c>
      <c r="C35" s="5"/>
      <c r="D35" s="5"/>
      <c r="E35" s="6"/>
      <c r="F35" s="19" t="e">
        <f>VLOOKUP(C35,$B$10:$H34,5)+(VLOOKUP(D35,$B$10:$H34,5)-VLOOKUP(C35,$B$10:$H34,5))*$E35</f>
        <v>#N/A</v>
      </c>
      <c r="G35" s="19" t="e">
        <f>VLOOKUP(C35,$B$10:$H34,6)+(VLOOKUP(D35,$B$10:$H34,6)-VLOOKUP(C35,$B$10:$H34,6))*$E35</f>
        <v>#N/A</v>
      </c>
      <c r="H35" s="19" t="e">
        <f>VLOOKUP(C35,$B$10:$H34,7)+(VLOOKUP(D35,$B$10:$H34,7)-VLOOKUP(C35,$B$10:$H34,7))*$E35</f>
        <v>#N/A</v>
      </c>
      <c r="I35" s="20" t="e">
        <f t="shared" si="10"/>
        <v>#N/A</v>
      </c>
      <c r="J35" s="21" t="e">
        <f t="shared" si="11"/>
        <v>#N/A</v>
      </c>
    </row>
    <row r="36" spans="2:20" x14ac:dyDescent="0.2">
      <c r="B36" s="31" t="s">
        <v>33</v>
      </c>
      <c r="C36" s="43" t="s">
        <v>31</v>
      </c>
      <c r="D36" s="44"/>
      <c r="E36" s="31" t="s">
        <v>32</v>
      </c>
      <c r="F36" s="7" t="s">
        <v>5</v>
      </c>
      <c r="G36" s="7" t="s">
        <v>6</v>
      </c>
      <c r="H36" s="7" t="s">
        <v>7</v>
      </c>
      <c r="I36" s="41" t="s">
        <v>42</v>
      </c>
      <c r="J36" s="7" t="s">
        <v>43</v>
      </c>
      <c r="L36" s="22" t="s">
        <v>49</v>
      </c>
    </row>
    <row r="37" spans="2:20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2:20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2:20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2:20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2:20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2:20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2:20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2:20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2:20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2:20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2:20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2:20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2:20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2:20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2:20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2:20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2:20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2:20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2:20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</sheetData>
  <sheetProtection formatCells="0" formatColumns="0" formatRows="0" selectLockedCells="1"/>
  <mergeCells count="12">
    <mergeCell ref="AO15:AR15"/>
    <mergeCell ref="AO18:AR18"/>
    <mergeCell ref="Y28:Z28"/>
    <mergeCell ref="Y31:Z31"/>
    <mergeCell ref="AK5:AM5"/>
    <mergeCell ref="AG6:AH6"/>
    <mergeCell ref="C36:D36"/>
    <mergeCell ref="Y1:Z1"/>
    <mergeCell ref="AF1:AI1"/>
    <mergeCell ref="AF2:AH4"/>
    <mergeCell ref="AF5:AI5"/>
    <mergeCell ref="AF15:AI17"/>
  </mergeCells>
  <conditionalFormatting sqref="AF7:AF14">
    <cfRule type="cellIs" dxfId="2" priority="1" stopIfTrue="1" operator="between">
      <formula>"I"</formula>
      <formula>"K"</formula>
    </cfRule>
    <cfRule type="cellIs" dxfId="1" priority="2" stopIfTrue="1" operator="between">
      <formula>"L"</formula>
      <formula>"N"</formula>
    </cfRule>
  </conditionalFormatting>
  <conditionalFormatting sqref="AI7:AI14">
    <cfRule type="cellIs" dxfId="0" priority="3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0660" r:id="rId4" name="CheckBox1">
          <controlPr autoLine="0" r:id="rId5">
            <anchor moveWithCells="1">
              <from>
                <xdr:col>3</xdr:col>
                <xdr:colOff>104775</xdr:colOff>
                <xdr:row>4</xdr:row>
                <xdr:rowOff>133350</xdr:rowOff>
              </from>
              <to>
                <xdr:col>10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70660" r:id="rId4" name="CheckBox1"/>
      </mc:Fallback>
    </mc:AlternateContent>
    <mc:AlternateContent xmlns:mc="http://schemas.openxmlformats.org/markup-compatibility/2006">
      <mc:Choice Requires="x14">
        <control shapeId="70659" r:id="rId6" name="SpinButton1">
          <controlPr defaultSize="0" autoLine="0" r:id="rId7">
            <anchor moveWithCells="1" siz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70659" r:id="rId6" name="SpinButton1"/>
      </mc:Fallback>
    </mc:AlternateContent>
    <mc:AlternateContent xmlns:mc="http://schemas.openxmlformats.org/markup-compatibility/2006">
      <mc:Choice Requires="x14">
        <control shapeId="70658" r:id="rId8" name="ScrollBar2">
          <controlPr defaultSize="0" autoLine="0" linkedCell="AP3" r:id="rId9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390525</xdr:colOff>
                <xdr:row>3</xdr:row>
                <xdr:rowOff>9525</xdr:rowOff>
              </to>
            </anchor>
          </controlPr>
        </control>
      </mc:Choice>
      <mc:Fallback>
        <control shapeId="70658" r:id="rId8" name="ScrollBar2"/>
      </mc:Fallback>
    </mc:AlternateContent>
    <mc:AlternateContent xmlns:mc="http://schemas.openxmlformats.org/markup-compatibility/2006">
      <mc:Choice Requires="x14">
        <control shapeId="70657" r:id="rId10" name="ScrollBar1">
          <controlPr defaultSize="0" autoLine="0" linkedCell="AP2" r:id="rId11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390525</xdr:colOff>
                <xdr:row>2</xdr:row>
                <xdr:rowOff>9525</xdr:rowOff>
              </to>
            </anchor>
          </controlPr>
        </control>
      </mc:Choice>
      <mc:Fallback>
        <control shapeId="70657" r:id="rId10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4pyramid (0)</vt:lpstr>
    </vt:vector>
  </TitlesOfParts>
  <Company>KI FPV UKF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Ján Beňačka</dc:creator>
  <cp:lastModifiedBy>XX</cp:lastModifiedBy>
  <dcterms:created xsi:type="dcterms:W3CDTF">2008-12-18T08:33:21Z</dcterms:created>
  <dcterms:modified xsi:type="dcterms:W3CDTF">2016-08-11T20:00:50Z</dcterms:modified>
</cp:coreProperties>
</file>