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30" windowWidth="7770" windowHeight="8055" tabRatio="858"/>
  </bookViews>
  <sheets>
    <sheet name="3pyramid (0)" sheetId="38" r:id="rId1"/>
  </sheets>
  <calcPr calcId="145621" iterateDelta="9.9999999999999995E-7"/>
</workbook>
</file>

<file path=xl/calcChain.xml><?xml version="1.0" encoding="utf-8"?>
<calcChain xmlns="http://schemas.openxmlformats.org/spreadsheetml/2006/main">
  <c r="E15" i="38" l="1"/>
  <c r="H15" i="38" s="1"/>
  <c r="H35" i="38"/>
  <c r="G35" i="38"/>
  <c r="F35" i="38"/>
  <c r="H34" i="38"/>
  <c r="G34" i="38"/>
  <c r="F34" i="38"/>
  <c r="H33" i="38"/>
  <c r="G33" i="38"/>
  <c r="F33" i="38"/>
  <c r="H32" i="38"/>
  <c r="G32" i="38"/>
  <c r="F32" i="38"/>
  <c r="H31" i="38"/>
  <c r="G31" i="38"/>
  <c r="F31" i="38"/>
  <c r="H30" i="38"/>
  <c r="G30" i="38"/>
  <c r="F30" i="38"/>
  <c r="H29" i="38"/>
  <c r="G29" i="38"/>
  <c r="F29" i="38"/>
  <c r="H28" i="38"/>
  <c r="G28" i="38"/>
  <c r="F28" i="38"/>
  <c r="AD27" i="38"/>
  <c r="AC27" i="38"/>
  <c r="AB27" i="38"/>
  <c r="AA27" i="38"/>
  <c r="H27" i="38"/>
  <c r="G27" i="38"/>
  <c r="F27" i="38"/>
  <c r="AD26" i="38"/>
  <c r="AC26" i="38"/>
  <c r="AB26" i="38"/>
  <c r="AA26" i="38"/>
  <c r="H26" i="38"/>
  <c r="G26" i="38"/>
  <c r="F26" i="38"/>
  <c r="AD25" i="38"/>
  <c r="AC25" i="38"/>
  <c r="AB25" i="38"/>
  <c r="AA25" i="38"/>
  <c r="H25" i="38"/>
  <c r="G25" i="38"/>
  <c r="F25" i="38"/>
  <c r="AD24" i="38"/>
  <c r="AC24" i="38"/>
  <c r="AB24" i="38"/>
  <c r="AA24" i="38"/>
  <c r="H24" i="38"/>
  <c r="G24" i="38"/>
  <c r="F24" i="38"/>
  <c r="AD23" i="38"/>
  <c r="AC23" i="38"/>
  <c r="AB23" i="38"/>
  <c r="AA23" i="38"/>
  <c r="AD22" i="38"/>
  <c r="AC22" i="38"/>
  <c r="AB22" i="38"/>
  <c r="AA22" i="38"/>
  <c r="AD21" i="38"/>
  <c r="AC21" i="38"/>
  <c r="AB21" i="38"/>
  <c r="AA21" i="38"/>
  <c r="H21" i="38"/>
  <c r="G21" i="38"/>
  <c r="F21" i="38"/>
  <c r="AD20" i="38"/>
  <c r="AC20" i="38"/>
  <c r="AB20" i="38"/>
  <c r="AA20" i="38"/>
  <c r="H20" i="38"/>
  <c r="G20" i="38"/>
  <c r="F20" i="38"/>
  <c r="AD19" i="38"/>
  <c r="AC19" i="38"/>
  <c r="AB19" i="38"/>
  <c r="AA19" i="38"/>
  <c r="H19" i="38"/>
  <c r="G19" i="38"/>
  <c r="F19" i="38"/>
  <c r="AD18" i="38"/>
  <c r="AC18" i="38"/>
  <c r="AB18" i="38"/>
  <c r="AA18" i="38"/>
  <c r="H18" i="38"/>
  <c r="G18" i="38"/>
  <c r="F18" i="38"/>
  <c r="AO17" i="38"/>
  <c r="AD17" i="38"/>
  <c r="AC17" i="38"/>
  <c r="AB17" i="38"/>
  <c r="AA17" i="38"/>
  <c r="G17" i="38"/>
  <c r="F17" i="38"/>
  <c r="AD16" i="38"/>
  <c r="AC16" i="38"/>
  <c r="AB16" i="38"/>
  <c r="AA16" i="38"/>
  <c r="I16" i="38"/>
  <c r="G16" i="38"/>
  <c r="F16" i="38"/>
  <c r="E16" i="38"/>
  <c r="H16" i="38" s="1"/>
  <c r="D16" i="38"/>
  <c r="C16" i="38"/>
  <c r="AO15" i="38"/>
  <c r="AD15" i="38"/>
  <c r="AC15" i="38"/>
  <c r="AB15" i="38"/>
  <c r="AA15" i="38"/>
  <c r="I15" i="38"/>
  <c r="G15" i="38"/>
  <c r="F15" i="38"/>
  <c r="D15" i="38"/>
  <c r="C15" i="38"/>
  <c r="AO14" i="38"/>
  <c r="AD14" i="38"/>
  <c r="AC14" i="38"/>
  <c r="AB14" i="38"/>
  <c r="AA14" i="38"/>
  <c r="I14" i="38"/>
  <c r="G14" i="38"/>
  <c r="F14" i="38"/>
  <c r="E14" i="38"/>
  <c r="H14" i="38" s="1"/>
  <c r="AM2" i="38" s="1"/>
  <c r="C14" i="38"/>
  <c r="AD13" i="38"/>
  <c r="AC13" i="38"/>
  <c r="AB13" i="38"/>
  <c r="AA13" i="38"/>
  <c r="I13" i="38"/>
  <c r="G13" i="38"/>
  <c r="F13" i="38"/>
  <c r="AO12" i="38"/>
  <c r="AD12" i="38"/>
  <c r="AC12" i="38"/>
  <c r="AB12" i="38"/>
  <c r="AA12" i="38"/>
  <c r="G12" i="38"/>
  <c r="AL12" i="38" s="1"/>
  <c r="C12" i="38"/>
  <c r="AO11" i="38"/>
  <c r="AD11" i="38"/>
  <c r="AC11" i="38"/>
  <c r="AB11" i="38"/>
  <c r="AA11" i="38"/>
  <c r="C11" i="38"/>
  <c r="AO10" i="38"/>
  <c r="AK10" i="38"/>
  <c r="AD10" i="38"/>
  <c r="AC10" i="38"/>
  <c r="AB10" i="38"/>
  <c r="AA10" i="38"/>
  <c r="F10" i="38"/>
  <c r="E10" i="38"/>
  <c r="E13" i="38" s="1"/>
  <c r="H13" i="38" s="1"/>
  <c r="D10" i="38"/>
  <c r="G10" i="38" s="1"/>
  <c r="C10" i="38"/>
  <c r="AO9" i="38"/>
  <c r="AD9" i="38"/>
  <c r="AC9" i="38"/>
  <c r="AB9" i="38"/>
  <c r="AA9" i="38"/>
  <c r="AO8" i="38"/>
  <c r="AD8" i="38"/>
  <c r="AC8" i="38"/>
  <c r="AB8" i="38"/>
  <c r="AA8" i="38"/>
  <c r="AO7" i="38"/>
  <c r="AD7" i="38"/>
  <c r="AC7" i="38"/>
  <c r="AB7" i="38"/>
  <c r="AA7" i="38"/>
  <c r="AD6" i="38"/>
  <c r="AC6" i="38"/>
  <c r="AB6" i="38"/>
  <c r="AA6" i="38"/>
  <c r="E17" i="38"/>
  <c r="H17" i="38" s="1"/>
  <c r="AD5" i="38"/>
  <c r="AC5" i="38"/>
  <c r="AB5" i="38"/>
  <c r="AA5" i="38"/>
  <c r="AD4" i="38"/>
  <c r="AC4" i="38"/>
  <c r="AB4" i="38"/>
  <c r="AA4" i="38"/>
  <c r="AD3" i="38"/>
  <c r="AC3" i="38"/>
  <c r="AB3" i="38"/>
  <c r="AA3" i="38"/>
  <c r="C3" i="38"/>
  <c r="AR2" i="38" s="1"/>
  <c r="AL2" i="38"/>
  <c r="AQ12" i="38" s="1"/>
  <c r="AK2" i="38"/>
  <c r="C2" i="38"/>
  <c r="AR1" i="38"/>
  <c r="I17" i="38" s="1"/>
  <c r="H10" i="38" l="1"/>
  <c r="I26" i="38"/>
  <c r="I31" i="38"/>
  <c r="J28" i="38"/>
  <c r="I32" i="38"/>
  <c r="J20" i="38"/>
  <c r="I34" i="38"/>
  <c r="J21" i="38"/>
  <c r="I24" i="38"/>
  <c r="J19" i="38"/>
  <c r="I19" i="38"/>
  <c r="I20" i="38"/>
  <c r="J29" i="38"/>
  <c r="J35" i="38"/>
  <c r="I18" i="38"/>
  <c r="J27" i="38"/>
  <c r="I27" i="38"/>
  <c r="I28" i="38"/>
  <c r="I30" i="38"/>
  <c r="I35" i="38"/>
  <c r="AL10" i="38"/>
  <c r="AL9" i="38"/>
  <c r="AM10" i="38"/>
  <c r="J17" i="38"/>
  <c r="J15" i="38"/>
  <c r="J14" i="38"/>
  <c r="J13" i="38"/>
  <c r="J10" i="38"/>
  <c r="J16" i="38"/>
  <c r="J24" i="38"/>
  <c r="J25" i="38"/>
  <c r="J31" i="38"/>
  <c r="J32" i="38"/>
  <c r="J33" i="38"/>
  <c r="AR10" i="38"/>
  <c r="AR7" i="38"/>
  <c r="J26" i="38"/>
  <c r="J34" i="38"/>
  <c r="AP7" i="38"/>
  <c r="AQ10" i="38"/>
  <c r="E11" i="38"/>
  <c r="I12" i="38"/>
  <c r="AP12" i="38"/>
  <c r="I21" i="38"/>
  <c r="G23" i="38"/>
  <c r="AL4" i="38" s="1"/>
  <c r="AQ15" i="38" s="1"/>
  <c r="I25" i="38"/>
  <c r="I29" i="38"/>
  <c r="I33" i="38"/>
  <c r="J18" i="38"/>
  <c r="J30" i="38"/>
  <c r="AQ9" i="38"/>
  <c r="I10" i="38"/>
  <c r="AP10" i="38"/>
  <c r="D11" i="38"/>
  <c r="G11" i="38" s="1"/>
  <c r="AQ11" i="38" s="1"/>
  <c r="AQ7" i="38"/>
  <c r="F11" i="38"/>
  <c r="AP11" i="38" s="1"/>
  <c r="F12" i="38"/>
  <c r="AP9" i="38" s="1"/>
  <c r="H11" i="38" l="1"/>
  <c r="E12" i="38"/>
  <c r="AK8" i="38"/>
  <c r="F23" i="38"/>
  <c r="AK12" i="38"/>
  <c r="AK9" i="38"/>
  <c r="AL11" i="38"/>
  <c r="AL7" i="38"/>
  <c r="G22" i="38"/>
  <c r="AL3" i="38" s="1"/>
  <c r="AQ14" i="38" s="1"/>
  <c r="AQ8" i="38"/>
  <c r="AL8" i="38"/>
  <c r="AK11" i="38"/>
  <c r="AK7" i="38"/>
  <c r="F22" i="38"/>
  <c r="I11" i="38"/>
  <c r="J11" i="38"/>
  <c r="AP8" i="38"/>
  <c r="I22" i="38" l="1"/>
  <c r="AK3" i="38"/>
  <c r="AP14" i="38" s="1"/>
  <c r="AM7" i="38"/>
  <c r="H22" i="38"/>
  <c r="AM3" i="38" s="1"/>
  <c r="AR14" i="38" s="1"/>
  <c r="AM11" i="38"/>
  <c r="AR11" i="38"/>
  <c r="AR8" i="38"/>
  <c r="H12" i="38"/>
  <c r="J12" i="38"/>
  <c r="I23" i="38"/>
  <c r="AK4" i="38"/>
  <c r="AP15" i="38" s="1"/>
  <c r="H23" i="38" l="1"/>
  <c r="AM8" i="38"/>
  <c r="AM12" i="38"/>
  <c r="AR12" i="38"/>
  <c r="AR9" i="38"/>
  <c r="AM9" i="38"/>
  <c r="J22" i="38"/>
  <c r="AR17" i="38"/>
  <c r="AM4" i="38" l="1"/>
  <c r="AR15" i="38" s="1"/>
  <c r="J23" i="38"/>
  <c r="AP17" i="38" l="1"/>
  <c r="AQ17" i="38"/>
  <c r="AI11" i="38" l="1"/>
  <c r="AF11" i="38" s="1"/>
  <c r="AI7" i="38"/>
  <c r="AF7" i="38" s="1"/>
  <c r="AI10" i="38"/>
  <c r="AF10" i="38" s="1"/>
  <c r="AI9" i="38"/>
  <c r="AF9" i="38" s="1"/>
  <c r="AI12" i="38"/>
  <c r="AF12" i="38" s="1"/>
  <c r="AI8" i="38"/>
  <c r="AF8" i="38" s="1"/>
</calcChain>
</file>

<file path=xl/sharedStrings.xml><?xml version="1.0" encoding="utf-8"?>
<sst xmlns="http://schemas.openxmlformats.org/spreadsheetml/2006/main" count="95" uniqueCount="59">
  <si>
    <t>φ</t>
  </si>
  <si>
    <t>a</t>
  </si>
  <si>
    <t>Join</t>
  </si>
  <si>
    <t>x</t>
  </si>
  <si>
    <t>y</t>
  </si>
  <si>
    <t>z</t>
  </si>
  <si>
    <t>I</t>
  </si>
  <si>
    <t>A</t>
  </si>
  <si>
    <t>J</t>
  </si>
  <si>
    <t>B</t>
  </si>
  <si>
    <t>C</t>
  </si>
  <si>
    <t>L</t>
  </si>
  <si>
    <t>D</t>
  </si>
  <si>
    <t>E</t>
  </si>
  <si>
    <t>K</t>
  </si>
  <si>
    <t>F</t>
  </si>
  <si>
    <t>G</t>
  </si>
  <si>
    <t>M</t>
  </si>
  <si>
    <t>H</t>
  </si>
  <si>
    <t>N</t>
  </si>
  <si>
    <t>O</t>
  </si>
  <si>
    <t>P</t>
  </si>
  <si>
    <t>Q</t>
  </si>
  <si>
    <t>R</t>
  </si>
  <si>
    <t>S</t>
  </si>
  <si>
    <t>T</t>
  </si>
  <si>
    <t>U</t>
  </si>
  <si>
    <t>V</t>
  </si>
  <si>
    <t>X</t>
  </si>
  <si>
    <t>Y</t>
  </si>
  <si>
    <t>Z</t>
  </si>
  <si>
    <t>Edge</t>
  </si>
  <si>
    <t>Ratio</t>
  </si>
  <si>
    <t>Point</t>
  </si>
  <si>
    <t>Complete solution</t>
  </si>
  <si>
    <t>Edge vectors</t>
  </si>
  <si>
    <t>vectors in cutting plane</t>
  </si>
  <si>
    <t>normal vector</t>
  </si>
  <si>
    <t>vector</t>
  </si>
  <si>
    <t>zoom</t>
  </si>
  <si>
    <t>h</t>
  </si>
  <si>
    <t>W</t>
  </si>
  <si>
    <t>ScrBr1</t>
  </si>
  <si>
    <t>ScrBr2</t>
  </si>
  <si>
    <t>Vertices and other points</t>
  </si>
  <si>
    <t>x'</t>
  </si>
  <si>
    <t>y'</t>
  </si>
  <si>
    <t>x'1</t>
  </si>
  <si>
    <t>x'2</t>
  </si>
  <si>
    <t>y'1</t>
  </si>
  <si>
    <t>y'2</t>
  </si>
  <si>
    <t>θ</t>
  </si>
  <si>
    <t>This sheet can be used as a template if the white cells are vacated</t>
  </si>
  <si>
    <t>Base edge and height</t>
  </si>
  <si>
    <t>Cutting plane</t>
  </si>
  <si>
    <t xml:space="preserve">Write in the 3 points from column B that give the cutting plane </t>
  </si>
  <si>
    <t>Copy relevant rows from the blue range and paste values into range C18:E35</t>
  </si>
  <si>
    <t>Regular 3-sided pyramid</t>
  </si>
  <si>
    <t>Copyright © 2016 Jan Benacka (see row 38)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</si>
</sst>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0"/>
      <name val="Arial"/>
      <charset val="238"/>
    </font>
    <font>
      <sz val="10"/>
      <name val="Arial"/>
      <family val="2"/>
      <charset val="238"/>
    </font>
    <font>
      <b/>
      <sz val="10"/>
      <name val="Arial"/>
      <family val="2"/>
      <charset val="238"/>
    </font>
    <font>
      <b/>
      <sz val="10"/>
      <color indexed="10"/>
      <name val="Arial"/>
      <family val="2"/>
      <charset val="238"/>
    </font>
    <font>
      <sz val="10"/>
      <color indexed="10"/>
      <name val="Arial"/>
      <family val="2"/>
      <charset val="238"/>
    </font>
    <font>
      <sz val="10"/>
      <name val="Arial"/>
      <family val="2"/>
      <charset val="238"/>
    </font>
    <font>
      <sz val="10"/>
      <name val="Symbol"/>
      <family val="1"/>
      <charset val="2"/>
    </font>
    <font>
      <b/>
      <sz val="10"/>
      <color rgb="FF0000FF"/>
      <name val="Arial"/>
      <family val="2"/>
      <charset val="238"/>
    </font>
    <font>
      <b/>
      <sz val="10"/>
      <name val="Calibri"/>
      <family val="2"/>
      <charset val="238"/>
    </font>
    <font>
      <b/>
      <sz val="11"/>
      <color rgb="FF0000FF"/>
      <name val="Calibri"/>
      <family val="2"/>
      <charset val="238"/>
    </font>
  </fonts>
  <fills count="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0" xfId="0" applyProtection="1">
      <protection locked="0"/>
    </xf>
    <xf numFmtId="0" fontId="1" fillId="0" borderId="0" xfId="0" applyFont="1" applyBorder="1" applyProtection="1">
      <protection locked="0"/>
    </xf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2" fillId="0" borderId="5" xfId="0" applyFont="1" applyBorder="1" applyAlignment="1" applyProtection="1">
      <protection locked="0"/>
    </xf>
    <xf numFmtId="0" fontId="1" fillId="0" borderId="1" xfId="0" applyFont="1" applyBorder="1" applyProtection="1">
      <protection locked="0"/>
    </xf>
    <xf numFmtId="0" fontId="0" fillId="0" borderId="0" xfId="0" applyAlignment="1" applyProtection="1">
      <alignment horizontal="left"/>
      <protection locked="0"/>
    </xf>
    <xf numFmtId="0" fontId="6" fillId="0" borderId="0" xfId="0" applyFont="1" applyAlignment="1" applyProtection="1">
      <alignment horizontal="right"/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4" fillId="5" borderId="1" xfId="0" applyFont="1" applyFill="1" applyBorder="1" applyAlignment="1" applyProtection="1">
      <alignment horizontal="center"/>
      <protection locked="0"/>
    </xf>
    <xf numFmtId="0" fontId="4" fillId="5" borderId="1" xfId="0" applyNumberFormat="1" applyFont="1" applyFill="1" applyBorder="1" applyProtection="1">
      <protection locked="0"/>
    </xf>
    <xf numFmtId="0" fontId="2" fillId="4" borderId="1" xfId="0" applyFont="1" applyFill="1" applyBorder="1" applyAlignment="1" applyProtection="1">
      <alignment horizontal="center"/>
      <protection hidden="1"/>
    </xf>
    <xf numFmtId="0" fontId="1" fillId="0" borderId="0" xfId="0" applyFont="1" applyProtection="1">
      <protection locked="0"/>
    </xf>
    <xf numFmtId="0" fontId="0" fillId="6" borderId="1" xfId="0" applyFill="1" applyBorder="1" applyProtection="1">
      <protection locked="0"/>
    </xf>
    <xf numFmtId="0" fontId="7" fillId="0" borderId="0" xfId="0" applyFont="1" applyAlignment="1" applyProtection="1">
      <alignment vertical="center"/>
      <protection locked="0"/>
    </xf>
    <xf numFmtId="0" fontId="8" fillId="4" borderId="1" xfId="0" applyFont="1" applyFill="1" applyBorder="1" applyAlignment="1" applyProtection="1">
      <alignment horizontal="center"/>
      <protection locked="0"/>
    </xf>
    <xf numFmtId="2" fontId="0" fillId="6" borderId="1" xfId="0" applyNumberFormat="1" applyFill="1" applyBorder="1" applyProtection="1"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0" fillId="6" borderId="2" xfId="0" applyFill="1" applyBorder="1" applyProtection="1">
      <protection locked="0"/>
    </xf>
    <xf numFmtId="2" fontId="0" fillId="6" borderId="2" xfId="0" applyNumberFormat="1" applyFill="1" applyBorder="1" applyProtection="1">
      <protection locked="0"/>
    </xf>
    <xf numFmtId="0" fontId="5" fillId="6" borderId="1" xfId="0" applyFont="1" applyFill="1" applyBorder="1" applyProtection="1">
      <protection locked="0"/>
    </xf>
    <xf numFmtId="0" fontId="5" fillId="6" borderId="4" xfId="0" applyFont="1" applyFill="1" applyBorder="1" applyProtection="1">
      <protection locked="0"/>
    </xf>
    <xf numFmtId="2" fontId="0" fillId="6" borderId="4" xfId="0" applyNumberFormat="1" applyFill="1" applyBorder="1" applyProtection="1">
      <protection locked="0"/>
    </xf>
    <xf numFmtId="2" fontId="0" fillId="6" borderId="3" xfId="0" applyNumberFormat="1" applyFill="1" applyBorder="1" applyProtection="1">
      <protection locked="0"/>
    </xf>
    <xf numFmtId="0" fontId="1" fillId="6" borderId="1" xfId="0" applyFont="1" applyFill="1" applyBorder="1" applyProtection="1">
      <protection hidden="1"/>
    </xf>
    <xf numFmtId="0" fontId="1" fillId="6" borderId="1" xfId="0" applyFont="1" applyFill="1" applyBorder="1" applyAlignment="1" applyProtection="1">
      <alignment horizontal="right"/>
      <protection hidden="1"/>
    </xf>
    <xf numFmtId="0" fontId="0" fillId="4" borderId="1" xfId="0" applyFill="1" applyBorder="1" applyProtection="1">
      <protection hidden="1"/>
    </xf>
    <xf numFmtId="0" fontId="0" fillId="6" borderId="1" xfId="0" applyNumberFormat="1" applyFill="1" applyBorder="1" applyProtection="1">
      <protection hidden="1"/>
    </xf>
    <xf numFmtId="0" fontId="3" fillId="4" borderId="1" xfId="0" applyFont="1" applyFill="1" applyBorder="1" applyAlignment="1" applyProtection="1">
      <alignment horizontal="center"/>
      <protection hidden="1"/>
    </xf>
    <xf numFmtId="0" fontId="8" fillId="7" borderId="1" xfId="0" applyFont="1" applyFill="1" applyBorder="1" applyAlignment="1" applyProtection="1">
      <alignment horizontal="center"/>
      <protection locked="0"/>
    </xf>
    <xf numFmtId="0" fontId="2" fillId="7" borderId="1" xfId="0" applyFont="1" applyFill="1" applyBorder="1" applyAlignment="1" applyProtection="1">
      <alignment horizontal="center"/>
      <protection locked="0"/>
    </xf>
    <xf numFmtId="0" fontId="2" fillId="8" borderId="1" xfId="0" applyFont="1" applyFill="1" applyBorder="1" applyAlignment="1" applyProtection="1">
      <alignment horizontal="center"/>
      <protection locked="0"/>
    </xf>
    <xf numFmtId="0" fontId="0" fillId="6" borderId="1" xfId="0" applyFill="1" applyBorder="1"/>
    <xf numFmtId="0" fontId="3" fillId="5" borderId="3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</xf>
    <xf numFmtId="0" fontId="3" fillId="5" borderId="1" xfId="0" applyFont="1" applyFill="1" applyBorder="1" applyAlignment="1" applyProtection="1">
      <alignment horizontal="center"/>
      <protection locked="0"/>
    </xf>
    <xf numFmtId="0" fontId="2" fillId="4" borderId="1" xfId="0" applyFont="1" applyFill="1" applyBorder="1" applyAlignment="1" applyProtection="1">
      <alignment horizontal="center"/>
    </xf>
    <xf numFmtId="0" fontId="2" fillId="2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protection locked="0"/>
    </xf>
    <xf numFmtId="0" fontId="1" fillId="3" borderId="1" xfId="0" applyFont="1" applyFill="1" applyBorder="1" applyAlignment="1" applyProtection="1"/>
    <xf numFmtId="0" fontId="2" fillId="4" borderId="2" xfId="0" applyFont="1" applyFill="1" applyBorder="1" applyAlignment="1" applyProtection="1">
      <alignment horizontal="center"/>
      <protection locked="0"/>
    </xf>
    <xf numFmtId="2" fontId="0" fillId="0" borderId="1" xfId="0" applyNumberFormat="1" applyBorder="1" applyProtection="1">
      <protection locked="0"/>
    </xf>
    <xf numFmtId="0" fontId="9" fillId="0" borderId="0" xfId="0" applyFont="1"/>
    <xf numFmtId="0" fontId="2" fillId="0" borderId="5" xfId="0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2" fillId="8" borderId="6" xfId="0" applyFont="1" applyFill="1" applyBorder="1" applyAlignment="1" applyProtection="1">
      <alignment horizontal="center"/>
      <protection locked="0"/>
    </xf>
    <xf numFmtId="0" fontId="2" fillId="8" borderId="2" xfId="0" applyFont="1" applyFill="1" applyBorder="1" applyAlignment="1" applyProtection="1">
      <alignment horizontal="center"/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2" fillId="4" borderId="2" xfId="0" applyFont="1" applyFill="1" applyBorder="1" applyAlignment="1" applyProtection="1">
      <alignment horizontal="center"/>
      <protection locked="0"/>
    </xf>
    <xf numFmtId="0" fontId="1" fillId="4" borderId="1" xfId="0" applyFont="1" applyFill="1" applyBorder="1" applyAlignment="1" applyProtection="1">
      <alignment horizontal="center" wrapText="1"/>
      <protection locked="0"/>
    </xf>
    <xf numFmtId="0" fontId="0" fillId="4" borderId="1" xfId="0" applyFill="1" applyBorder="1" applyAlignment="1" applyProtection="1">
      <alignment horizontal="center" wrapText="1"/>
      <protection locked="0"/>
    </xf>
    <xf numFmtId="0" fontId="1" fillId="0" borderId="8" xfId="0" applyFont="1" applyBorder="1" applyAlignment="1" applyProtection="1">
      <alignment horizontal="center" vertical="center" wrapText="1"/>
      <protection locked="0"/>
    </xf>
    <xf numFmtId="0" fontId="1" fillId="0" borderId="0" xfId="0" applyFont="1" applyBorder="1" applyAlignment="1" applyProtection="1">
      <alignment horizontal="center" vertical="center" wrapText="1"/>
      <protection locked="0"/>
    </xf>
  </cellXfs>
  <cellStyles count="1">
    <cellStyle name="Normálna" xfId="0" builtinId="0"/>
  </cellStyles>
  <dxfs count="3">
    <dxf>
      <font>
        <condense val="0"/>
        <extend val="0"/>
        <color indexed="4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762845849802372E-2"/>
          <c:y val="1.9762845849802372E-2"/>
          <c:w val="0.95849802371541504"/>
          <c:h val="0.95849802371541504"/>
        </c:manualLayout>
      </c:layout>
      <c:scatterChart>
        <c:scatterStyle val="lineMarker"/>
        <c:varyColors val="0"/>
        <c:ser>
          <c:idx val="55"/>
          <c:order val="0"/>
          <c:tx>
            <c:strRef>
              <c:f>'3pyramid (0)'!$B$10</c:f>
              <c:strCache>
                <c:ptCount val="1"/>
                <c:pt idx="0">
                  <c:v>A</c:v>
                </c:pt>
              </c:strCache>
            </c:strRef>
          </c:tx>
          <c:spPr>
            <a:ln w="12700">
              <a:solidFill>
                <a:srgbClr val="000080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'3pyramid (0)'!$I$10</c:f>
              <c:numCache>
                <c:formatCode>0.00</c:formatCode>
                <c:ptCount val="1"/>
                <c:pt idx="0">
                  <c:v>-1.7254598313256417</c:v>
                </c:pt>
              </c:numCache>
            </c:numRef>
          </c:xVal>
          <c:yVal>
            <c:numRef>
              <c:f>'3pyramid (0)'!$J$10</c:f>
              <c:numCache>
                <c:formatCode>0.00</c:formatCode>
                <c:ptCount val="1"/>
                <c:pt idx="0">
                  <c:v>-1.2956639992056012</c:v>
                </c:pt>
              </c:numCache>
            </c:numRef>
          </c:yVal>
          <c:smooth val="0"/>
        </c:ser>
        <c:ser>
          <c:idx val="56"/>
          <c:order val="1"/>
          <c:tx>
            <c:strRef>
              <c:f>'3pyramid (0)'!$B$11</c:f>
              <c:strCache>
                <c:ptCount val="1"/>
                <c:pt idx="0">
                  <c:v>B</c:v>
                </c:pt>
              </c:strCache>
            </c:strRef>
          </c:tx>
          <c:spPr>
            <a:ln w="12700">
              <a:solidFill>
                <a:srgbClr val="FF00FF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'3pyramid (0)'!$I$11</c:f>
              <c:numCache>
                <c:formatCode>0.00</c:formatCode>
                <c:ptCount val="1"/>
                <c:pt idx="0">
                  <c:v>0.73199630154133355</c:v>
                </c:pt>
              </c:numCache>
            </c:numRef>
          </c:xVal>
          <c:yVal>
            <c:numRef>
              <c:f>'3pyramid (0)'!$J$11</c:f>
              <c:numCache>
                <c:formatCode>0.00</c:formatCode>
                <c:ptCount val="1"/>
                <c:pt idx="0">
                  <c:v>-2.0228756287239129</c:v>
                </c:pt>
              </c:numCache>
            </c:numRef>
          </c:yVal>
          <c:smooth val="0"/>
        </c:ser>
        <c:ser>
          <c:idx val="57"/>
          <c:order val="2"/>
          <c:tx>
            <c:strRef>
              <c:f>'3pyramid (0)'!$B$12</c:f>
              <c:strCache>
                <c:ptCount val="1"/>
                <c:pt idx="0">
                  <c:v>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'3pyramid (0)'!$I$12</c:f>
              <c:numCache>
                <c:formatCode>0.00</c:formatCode>
                <c:ptCount val="1"/>
                <c:pt idx="0">
                  <c:v>0.99346352978430807</c:v>
                </c:pt>
              </c:numCache>
            </c:numRef>
          </c:xVal>
          <c:yVal>
            <c:numRef>
              <c:f>'3pyramid (0)'!$J$12</c:f>
              <c:numCache>
                <c:formatCode>0.00</c:formatCode>
                <c:ptCount val="1"/>
                <c:pt idx="0">
                  <c:v>-0.75984541373541015</c:v>
                </c:pt>
              </c:numCache>
            </c:numRef>
          </c:yVal>
          <c:smooth val="0"/>
        </c:ser>
        <c:ser>
          <c:idx val="58"/>
          <c:order val="3"/>
          <c:tx>
            <c:strRef>
              <c:f>'3pyramid (0)'!$B$13</c:f>
              <c:strCache>
                <c:ptCount val="1"/>
                <c:pt idx="0">
                  <c:v>D</c:v>
                </c:pt>
              </c:strCache>
            </c:strRef>
          </c:tx>
          <c:spPr>
            <a:ln w="12700">
              <a:solidFill>
                <a:srgbClr val="00FFFF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'3pyramid (0)'!$I$13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'3pyramid (0)'!$J$13</c:f>
              <c:numCache>
                <c:formatCode>0.00</c:formatCode>
                <c:ptCount val="1"/>
                <c:pt idx="0">
                  <c:v>1.3594616805549748</c:v>
                </c:pt>
              </c:numCache>
            </c:numRef>
          </c:yVal>
          <c:smooth val="0"/>
        </c:ser>
        <c:ser>
          <c:idx val="0"/>
          <c:order val="4"/>
          <c:tx>
            <c:v>AB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'3pyramid (0)'!$I$10:$I$11</c:f>
              <c:numCache>
                <c:formatCode>0.00</c:formatCode>
                <c:ptCount val="2"/>
                <c:pt idx="0">
                  <c:v>-1.7254598313256417</c:v>
                </c:pt>
                <c:pt idx="1">
                  <c:v>0.73199630154133355</c:v>
                </c:pt>
              </c:numCache>
            </c:numRef>
          </c:xVal>
          <c:yVal>
            <c:numRef>
              <c:f>'3pyramid (0)'!$J$10:$J$11</c:f>
              <c:numCache>
                <c:formatCode>0.00</c:formatCode>
                <c:ptCount val="2"/>
                <c:pt idx="0">
                  <c:v>-1.2956639992056012</c:v>
                </c:pt>
                <c:pt idx="1">
                  <c:v>-2.0228756287239129</c:v>
                </c:pt>
              </c:numCache>
            </c:numRef>
          </c:yVal>
          <c:smooth val="0"/>
        </c:ser>
        <c:ser>
          <c:idx val="1"/>
          <c:order val="5"/>
          <c:tx>
            <c:v>BC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'3pyramid (0)'!$I$11:$I$12</c:f>
              <c:numCache>
                <c:formatCode>0.00</c:formatCode>
                <c:ptCount val="2"/>
                <c:pt idx="0">
                  <c:v>0.73199630154133355</c:v>
                </c:pt>
                <c:pt idx="1">
                  <c:v>0.99346352978430807</c:v>
                </c:pt>
              </c:numCache>
            </c:numRef>
          </c:xVal>
          <c:yVal>
            <c:numRef>
              <c:f>'3pyramid (0)'!$J$11:$J$12</c:f>
              <c:numCache>
                <c:formatCode>0.00</c:formatCode>
                <c:ptCount val="2"/>
                <c:pt idx="0">
                  <c:v>-2.0228756287239129</c:v>
                </c:pt>
                <c:pt idx="1">
                  <c:v>-0.75984541373541015</c:v>
                </c:pt>
              </c:numCache>
            </c:numRef>
          </c:yVal>
          <c:smooth val="0"/>
        </c:ser>
        <c:ser>
          <c:idx val="61"/>
          <c:order val="6"/>
          <c:tx>
            <c:v>CA</c:v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('3pyramid (0)'!$I$12,'3pyramid (0)'!$I$10)</c:f>
              <c:numCache>
                <c:formatCode>0.00</c:formatCode>
                <c:ptCount val="2"/>
                <c:pt idx="0">
                  <c:v>0.99346352978430807</c:v>
                </c:pt>
                <c:pt idx="1">
                  <c:v>-1.7254598313256417</c:v>
                </c:pt>
              </c:numCache>
            </c:numRef>
          </c:xVal>
          <c:yVal>
            <c:numRef>
              <c:f>('3pyramid (0)'!$J$12,'3pyramid (0)'!$J$10)</c:f>
              <c:numCache>
                <c:formatCode>0.00</c:formatCode>
                <c:ptCount val="2"/>
                <c:pt idx="0">
                  <c:v>-0.75984541373541015</c:v>
                </c:pt>
                <c:pt idx="1">
                  <c:v>-1.2956639992056012</c:v>
                </c:pt>
              </c:numCache>
            </c:numRef>
          </c:yVal>
          <c:smooth val="0"/>
        </c:ser>
        <c:ser>
          <c:idx val="2"/>
          <c:order val="7"/>
          <c:tx>
            <c:v>AD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('3pyramid (0)'!$I$10,'3pyramid (0)'!$I$13)</c:f>
              <c:numCache>
                <c:formatCode>0.00</c:formatCode>
                <c:ptCount val="2"/>
                <c:pt idx="0">
                  <c:v>-1.7254598313256417</c:v>
                </c:pt>
                <c:pt idx="1">
                  <c:v>0</c:v>
                </c:pt>
              </c:numCache>
            </c:numRef>
          </c:xVal>
          <c:yVal>
            <c:numRef>
              <c:f>('3pyramid (0)'!$J$10,'3pyramid (0)'!$J$13)</c:f>
              <c:numCache>
                <c:formatCode>0.00</c:formatCode>
                <c:ptCount val="2"/>
                <c:pt idx="0">
                  <c:v>-1.2956639992056012</c:v>
                </c:pt>
                <c:pt idx="1">
                  <c:v>1.3594616805549748</c:v>
                </c:pt>
              </c:numCache>
            </c:numRef>
          </c:yVal>
          <c:smooth val="0"/>
        </c:ser>
        <c:ser>
          <c:idx val="62"/>
          <c:order val="8"/>
          <c:tx>
            <c:v>BD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('3pyramid (0)'!$I$11,'3pyramid (0)'!$I$13)</c:f>
              <c:numCache>
                <c:formatCode>0.00</c:formatCode>
                <c:ptCount val="2"/>
                <c:pt idx="0">
                  <c:v>0.73199630154133355</c:v>
                </c:pt>
                <c:pt idx="1">
                  <c:v>0</c:v>
                </c:pt>
              </c:numCache>
            </c:numRef>
          </c:xVal>
          <c:yVal>
            <c:numRef>
              <c:f>('3pyramid (0)'!$J$11,'3pyramid (0)'!$J$13)</c:f>
              <c:numCache>
                <c:formatCode>0.00</c:formatCode>
                <c:ptCount val="2"/>
                <c:pt idx="0">
                  <c:v>-2.0228756287239129</c:v>
                </c:pt>
                <c:pt idx="1">
                  <c:v>1.3594616805549748</c:v>
                </c:pt>
              </c:numCache>
            </c:numRef>
          </c:yVal>
          <c:smooth val="0"/>
        </c:ser>
        <c:ser>
          <c:idx val="6"/>
          <c:order val="9"/>
          <c:tx>
            <c:v>CD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'3pyramid (0)'!$I$12:$I$13</c:f>
              <c:numCache>
                <c:formatCode>0.00</c:formatCode>
                <c:ptCount val="2"/>
                <c:pt idx="0">
                  <c:v>0.99346352978430807</c:v>
                </c:pt>
                <c:pt idx="1">
                  <c:v>0</c:v>
                </c:pt>
              </c:numCache>
            </c:numRef>
          </c:xVal>
          <c:yVal>
            <c:numRef>
              <c:f>'3pyramid (0)'!$J$12:$J$13</c:f>
              <c:numCache>
                <c:formatCode>0.00</c:formatCode>
                <c:ptCount val="2"/>
                <c:pt idx="0">
                  <c:v>-0.75984541373541015</c:v>
                </c:pt>
                <c:pt idx="1">
                  <c:v>1.3594616805549748</c:v>
                </c:pt>
              </c:numCache>
            </c:numRef>
          </c:yVal>
          <c:smooth val="0"/>
        </c:ser>
        <c:ser>
          <c:idx val="10"/>
          <c:order val="10"/>
          <c:tx>
            <c:v>AF</c:v>
          </c:tx>
          <c:spPr>
            <a:ln w="12700">
              <a:solidFill>
                <a:schemeClr val="bg1">
                  <a:lumMod val="75000"/>
                </a:schemeClr>
              </a:solidFill>
              <a:prstDash val="lgDash"/>
            </a:ln>
          </c:spPr>
          <c:marker>
            <c:symbol val="none"/>
          </c:marker>
          <c:xVal>
            <c:numRef>
              <c:f>('3pyramid (0)'!$I$10,'3pyramid (0)'!$I$15)</c:f>
              <c:numCache>
                <c:formatCode>0.00</c:formatCode>
                <c:ptCount val="2"/>
                <c:pt idx="0">
                  <c:v>-1.7254598313256417</c:v>
                </c:pt>
                <c:pt idx="1">
                  <c:v>0.86272991566282076</c:v>
                </c:pt>
              </c:numCache>
            </c:numRef>
          </c:xVal>
          <c:yVal>
            <c:numRef>
              <c:f>('3pyramid (0)'!$J$10,'3pyramid (0)'!$J$15)</c:f>
              <c:numCache>
                <c:formatCode>0.00</c:formatCode>
                <c:ptCount val="2"/>
                <c:pt idx="0">
                  <c:v>-1.2956639992056012</c:v>
                </c:pt>
                <c:pt idx="1">
                  <c:v>-1.3913605212296616</c:v>
                </c:pt>
              </c:numCache>
            </c:numRef>
          </c:yVal>
          <c:smooth val="0"/>
        </c:ser>
        <c:ser>
          <c:idx val="11"/>
          <c:order val="11"/>
          <c:tx>
            <c:v>BG</c:v>
          </c:tx>
          <c:spPr>
            <a:ln w="12700">
              <a:solidFill>
                <a:schemeClr val="bg1">
                  <a:lumMod val="75000"/>
                </a:schemeClr>
              </a:solidFill>
              <a:prstDash val="lgDash"/>
            </a:ln>
          </c:spPr>
          <c:marker>
            <c:symbol val="none"/>
          </c:marker>
          <c:xVal>
            <c:numRef>
              <c:f>('3pyramid (0)'!$I$11,'3pyramid (0)'!$I$16)</c:f>
              <c:numCache>
                <c:formatCode>0.00</c:formatCode>
                <c:ptCount val="2"/>
                <c:pt idx="0">
                  <c:v>0.73199630154133355</c:v>
                </c:pt>
                <c:pt idx="1">
                  <c:v>-0.36599815077066683</c:v>
                </c:pt>
              </c:numCache>
            </c:numRef>
          </c:xVal>
          <c:yVal>
            <c:numRef>
              <c:f>('3pyramid (0)'!$J$11,'3pyramid (0)'!$J$16)</c:f>
              <c:numCache>
                <c:formatCode>0.00</c:formatCode>
                <c:ptCount val="2"/>
                <c:pt idx="0">
                  <c:v>-2.0228756287239129</c:v>
                </c:pt>
                <c:pt idx="1">
                  <c:v>-1.0277547064705057</c:v>
                </c:pt>
              </c:numCache>
            </c:numRef>
          </c:yVal>
          <c:smooth val="0"/>
        </c:ser>
        <c:ser>
          <c:idx val="9"/>
          <c:order val="12"/>
          <c:tx>
            <c:v>CE</c:v>
          </c:tx>
          <c:spPr>
            <a:ln w="12700">
              <a:solidFill>
                <a:schemeClr val="bg1">
                  <a:lumMod val="75000"/>
                </a:schemeClr>
              </a:solidFill>
              <a:prstDash val="lgDash"/>
            </a:ln>
          </c:spPr>
          <c:marker>
            <c:symbol val="none"/>
          </c:marker>
          <c:xVal>
            <c:numRef>
              <c:f>('3pyramid (0)'!$I$12,'3pyramid (0)'!$I$14)</c:f>
              <c:numCache>
                <c:formatCode>0.00</c:formatCode>
                <c:ptCount val="2"/>
                <c:pt idx="0">
                  <c:v>0.99346352978430807</c:v>
                </c:pt>
                <c:pt idx="1">
                  <c:v>-0.49673176489215398</c:v>
                </c:pt>
              </c:numCache>
            </c:numRef>
          </c:xVal>
          <c:yVal>
            <c:numRef>
              <c:f>('3pyramid (0)'!$J$12,'3pyramid (0)'!$J$14)</c:f>
              <c:numCache>
                <c:formatCode>0.00</c:formatCode>
                <c:ptCount val="2"/>
                <c:pt idx="0">
                  <c:v>-0.75984541373541015</c:v>
                </c:pt>
                <c:pt idx="1">
                  <c:v>-1.6592698139647573</c:v>
                </c:pt>
              </c:numCache>
            </c:numRef>
          </c:yVal>
          <c:smooth val="0"/>
        </c:ser>
        <c:ser>
          <c:idx val="12"/>
          <c:order val="13"/>
          <c:tx>
            <c:v>DH</c:v>
          </c:tx>
          <c:spPr>
            <a:ln w="12700">
              <a:solidFill>
                <a:schemeClr val="bg1">
                  <a:lumMod val="75000"/>
                </a:schemeClr>
              </a:solidFill>
              <a:prstDash val="lgDash"/>
            </a:ln>
          </c:spPr>
          <c:marker>
            <c:symbol val="none"/>
          </c:marker>
          <c:xVal>
            <c:numRef>
              <c:f>('3pyramid (0)'!$I$13,'3pyramid (0)'!$I$17)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('3pyramid (0)'!$J$13,'3pyramid (0)'!$J$17)</c:f>
              <c:numCache>
                <c:formatCode>0.00</c:formatCode>
                <c:ptCount val="2"/>
                <c:pt idx="0">
                  <c:v>1.3594616805549748</c:v>
                </c:pt>
                <c:pt idx="1">
                  <c:v>-1.3594616805549748</c:v>
                </c:pt>
              </c:numCache>
            </c:numRef>
          </c:yVal>
          <c:smooth val="0"/>
        </c:ser>
        <c:ser>
          <c:idx val="17"/>
          <c:order val="14"/>
          <c:tx>
            <c:v>join1</c:v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'3pyramid (0)'!$AA$3:$AB$3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'3pyramid (0)'!$AC$3:$AD$3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18"/>
          <c:order val="15"/>
          <c:tx>
            <c:v>join2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'3pyramid (0)'!$AA$4:$AB$4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'3pyramid (0)'!$AC$4:$AD$4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20"/>
          <c:order val="16"/>
          <c:tx>
            <c:v>join3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'3pyramid (0)'!$AA$5:$AB$5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'3pyramid (0)'!$AC$5:$AD$5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21"/>
          <c:order val="17"/>
          <c:tx>
            <c:v>join4</c:v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'3pyramid (0)'!$AA$6:$AB$6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'3pyramid (0)'!$AC$6:$AD$6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4"/>
          <c:order val="18"/>
          <c:tx>
            <c:v>join5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'3pyramid (0)'!$AA$7:$AB$7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'3pyramid (0)'!$AC$7:$AD$7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5"/>
          <c:order val="19"/>
          <c:tx>
            <c:v>join6</c:v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'3pyramid (0)'!$AA$8:$AB$8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'3pyramid (0)'!$AC$8:$AD$8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6"/>
          <c:order val="20"/>
          <c:tx>
            <c:v>join7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'3pyramid (0)'!$AA$9:$AB$9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'3pyramid (0)'!$AC$9:$AD$9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7"/>
          <c:order val="21"/>
          <c:tx>
            <c:v>join8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'3pyramid (0)'!$AA$10:$AB$10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'3pyramid (0)'!$AC$10:$AD$10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8"/>
          <c:order val="22"/>
          <c:tx>
            <c:v>join9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'3pyramid (0)'!$AA$11:$AB$11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'3pyramid (0)'!$AC$11:$AD$11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9"/>
          <c:order val="23"/>
          <c:tx>
            <c:v>join10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'3pyramid (0)'!$AA$12:$AB$12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'3pyramid (0)'!$AC$12:$AD$12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0"/>
          <c:order val="24"/>
          <c:tx>
            <c:v>join11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'3pyramid (0)'!$AA$13:$AB$13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'3pyramid (0)'!$AC$13:$AD$13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1"/>
          <c:order val="25"/>
          <c:tx>
            <c:v>join12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'3pyramid (0)'!$AA$14:$AB$14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'3pyramid (0)'!$AC$14:$AD$14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2"/>
          <c:order val="26"/>
          <c:tx>
            <c:v>join13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'3pyramid (0)'!$AA$15:$AB$15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'3pyramid (0)'!$AC$15:$AD$15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3"/>
          <c:order val="27"/>
          <c:tx>
            <c:v>join14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'3pyramid (0)'!$AA$16:$AB$16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'3pyramid (0)'!$AC$16:$AD$16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4"/>
          <c:order val="28"/>
          <c:tx>
            <c:v>join15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'3pyramid (0)'!$AA$17:$AB$17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'3pyramid (0)'!$AC$17:$AD$17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5"/>
          <c:order val="29"/>
          <c:tx>
            <c:v>join16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'3pyramid (0)'!$AA$18:$AB$18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'3pyramid (0)'!$AC$18:$AD$18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6"/>
          <c:order val="30"/>
          <c:tx>
            <c:v>join17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'3pyramid (0)'!$AA$19:$AB$19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'3pyramid (0)'!$AC$19:$AD$19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7"/>
          <c:order val="31"/>
          <c:tx>
            <c:v>join18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'3pyramid (0)'!$AA$20:$AB$20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'3pyramid (0)'!$AC$20:$AD$20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8"/>
          <c:order val="32"/>
          <c:tx>
            <c:v>join19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'3pyramid (0)'!$AA$21:$AB$21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'3pyramid (0)'!$AC$21:$AD$21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9"/>
          <c:order val="33"/>
          <c:tx>
            <c:v>join20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'3pyramid (0)'!$AA$22:$AB$22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'3pyramid (0)'!$AC$22:$AD$22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0"/>
          <c:order val="34"/>
          <c:tx>
            <c:v>join21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'3pyramid (0)'!$AA$23:$AB$23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'3pyramid (0)'!$AC$23:$AD$23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1"/>
          <c:order val="35"/>
          <c:tx>
            <c:v>join22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'3pyramid (0)'!$AA$24:$AB$24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'3pyramid (0)'!$AC$24:$AD$24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2"/>
          <c:order val="36"/>
          <c:tx>
            <c:v>join23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'3pyramid (0)'!$AA$25:$AB$25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'3pyramid (0)'!$AC$25:$AD$25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3"/>
          <c:order val="37"/>
          <c:tx>
            <c:v>join24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'3pyramid (0)'!$AA$26:$AB$26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'3pyramid (0)'!$AC$26:$AD$26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4"/>
          <c:order val="38"/>
          <c:tx>
            <c:v>join25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'3pyramid (0)'!$AA$27:$AB$27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'3pyramid (0)'!$AC$27:$AD$27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7"/>
          <c:order val="39"/>
          <c:tx>
            <c:strRef>
              <c:f>'3pyramid (0)'!$B$14</c:f>
              <c:strCache>
                <c:ptCount val="1"/>
                <c:pt idx="0">
                  <c:v>E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chemeClr val="tx1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ysClr val="windowText" lastClr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'3pyramid (0)'!$I$14</c:f>
              <c:numCache>
                <c:formatCode>0.00</c:formatCode>
                <c:ptCount val="1"/>
                <c:pt idx="0">
                  <c:v>-0.49673176489215398</c:v>
                </c:pt>
              </c:numCache>
            </c:numRef>
          </c:xVal>
          <c:yVal>
            <c:numRef>
              <c:f>'3pyramid (0)'!$J$14</c:f>
              <c:numCache>
                <c:formatCode>0.00</c:formatCode>
                <c:ptCount val="1"/>
                <c:pt idx="0">
                  <c:v>-1.6592698139647573</c:v>
                </c:pt>
              </c:numCache>
            </c:numRef>
          </c:yVal>
          <c:smooth val="0"/>
        </c:ser>
        <c:ser>
          <c:idx val="8"/>
          <c:order val="40"/>
          <c:tx>
            <c:strRef>
              <c:f>'3pyramid (0)'!$B$15</c:f>
              <c:strCache>
                <c:ptCount val="1"/>
                <c:pt idx="0">
                  <c:v>F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chemeClr val="tx1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ysClr val="windowText" lastClr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'3pyramid (0)'!$I$15</c:f>
              <c:numCache>
                <c:formatCode>0.00</c:formatCode>
                <c:ptCount val="1"/>
                <c:pt idx="0">
                  <c:v>0.86272991566282076</c:v>
                </c:pt>
              </c:numCache>
            </c:numRef>
          </c:xVal>
          <c:yVal>
            <c:numRef>
              <c:f>'3pyramid (0)'!$J$15</c:f>
              <c:numCache>
                <c:formatCode>0.00</c:formatCode>
                <c:ptCount val="1"/>
                <c:pt idx="0">
                  <c:v>-1.3913605212296616</c:v>
                </c:pt>
              </c:numCache>
            </c:numRef>
          </c:yVal>
          <c:smooth val="0"/>
        </c:ser>
        <c:ser>
          <c:idx val="3"/>
          <c:order val="41"/>
          <c:tx>
            <c:strRef>
              <c:f>'3pyramid (0)'!$B$16</c:f>
              <c:strCache>
                <c:ptCount val="1"/>
                <c:pt idx="0">
                  <c:v>G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chemeClr val="tx1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ysClr val="windowText" lastClr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'3pyramid (0)'!$I$16</c:f>
              <c:numCache>
                <c:formatCode>0.00</c:formatCode>
                <c:ptCount val="1"/>
                <c:pt idx="0">
                  <c:v>-0.36599815077066683</c:v>
                </c:pt>
              </c:numCache>
            </c:numRef>
          </c:xVal>
          <c:yVal>
            <c:numRef>
              <c:f>'3pyramid (0)'!$J$16</c:f>
              <c:numCache>
                <c:formatCode>0.00</c:formatCode>
                <c:ptCount val="1"/>
                <c:pt idx="0">
                  <c:v>-1.0277547064705057</c:v>
                </c:pt>
              </c:numCache>
            </c:numRef>
          </c:yVal>
          <c:smooth val="0"/>
        </c:ser>
        <c:ser>
          <c:idx val="13"/>
          <c:order val="42"/>
          <c:tx>
            <c:strRef>
              <c:f>'3pyramid (0)'!$B$17</c:f>
              <c:strCache>
                <c:ptCount val="1"/>
                <c:pt idx="0">
                  <c:v>H</c:v>
                </c:pt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x"/>
            <c:size val="7"/>
            <c:spPr>
              <a:noFill/>
              <a:ln>
                <a:solidFill>
                  <a:schemeClr val="tx1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ysClr val="windowText" lastClr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'3pyramid (0)'!$I$17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'3pyramid (0)'!$J$17</c:f>
              <c:numCache>
                <c:formatCode>0.00</c:formatCode>
                <c:ptCount val="1"/>
                <c:pt idx="0">
                  <c:v>-1.3594616805549748</c:v>
                </c:pt>
              </c:numCache>
            </c:numRef>
          </c:yVal>
          <c:smooth val="0"/>
        </c:ser>
        <c:ser>
          <c:idx val="14"/>
          <c:order val="43"/>
          <c:tx>
            <c:strRef>
              <c:f>'3pyramid (0)'!$B$18</c:f>
              <c:strCache>
                <c:ptCount val="1"/>
                <c:pt idx="0">
                  <c:v>I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'3pyramid (0)'!$I$18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'3pyramid (0)'!$J$18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16"/>
          <c:order val="44"/>
          <c:tx>
            <c:strRef>
              <c:f>'3pyramid (0)'!$B$19</c:f>
              <c:strCache>
                <c:ptCount val="1"/>
                <c:pt idx="0">
                  <c:v>J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'3pyramid (0)'!$I$19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'3pyramid (0)'!$J$19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19"/>
          <c:order val="45"/>
          <c:tx>
            <c:strRef>
              <c:f>'3pyramid (0)'!$B$20</c:f>
              <c:strCache>
                <c:ptCount val="1"/>
                <c:pt idx="0">
                  <c:v>K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'3pyramid (0)'!$I$20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'3pyramid (0)'!$J$20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2"/>
          <c:order val="46"/>
          <c:tx>
            <c:strRef>
              <c:f>'3pyramid (0)'!$B$21</c:f>
              <c:strCache>
                <c:ptCount val="1"/>
                <c:pt idx="0">
                  <c:v>L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'3pyramid (0)'!$I$21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'3pyramid (0)'!$J$21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3"/>
          <c:order val="47"/>
          <c:tx>
            <c:strRef>
              <c:f>'3pyramid (0)'!$B$22</c:f>
              <c:strCache>
                <c:ptCount val="1"/>
                <c:pt idx="0">
                  <c:v>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'3pyramid (0)'!$I$22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'3pyramid (0)'!$J$22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4"/>
          <c:order val="48"/>
          <c:tx>
            <c:strRef>
              <c:f>'3pyramid (0)'!$B$23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003366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x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spPr>
              <a:ln w="28575">
                <a:noFill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'3pyramid (0)'!$I$23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'3pyramid (0)'!$J$23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5"/>
          <c:order val="49"/>
          <c:tx>
            <c:strRef>
              <c:f>'3pyramid (0)'!$B$24</c:f>
              <c:strCache>
                <c:ptCount val="1"/>
                <c:pt idx="0">
                  <c:v>O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'3pyramid (0)'!$I$24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'3pyramid (0)'!$J$24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6"/>
          <c:order val="50"/>
          <c:tx>
            <c:strRef>
              <c:f>'3pyramid (0)'!$B$25</c:f>
              <c:strCache>
                <c:ptCount val="1"/>
                <c:pt idx="0">
                  <c:v>P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'3pyramid (0)'!$I$25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'3pyramid (0)'!$J$25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7"/>
          <c:order val="51"/>
          <c:tx>
            <c:strRef>
              <c:f>'3pyramid (0)'!$B$26</c:f>
              <c:strCache>
                <c:ptCount val="1"/>
                <c:pt idx="0">
                  <c:v>Q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'3pyramid (0)'!$I$26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'3pyramid (0)'!$J$26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8"/>
          <c:order val="52"/>
          <c:tx>
            <c:strRef>
              <c:f>'3pyramid (0)'!$B$27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x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spPr>
              <a:ln w="28575">
                <a:noFill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'3pyramid (0)'!$I$27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'3pyramid (0)'!$J$27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9"/>
          <c:order val="53"/>
          <c:tx>
            <c:strRef>
              <c:f>'3pyramid (0)'!$B$28</c:f>
              <c:strCache>
                <c:ptCount val="1"/>
                <c:pt idx="0">
                  <c:v>S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'3pyramid (0)'!$I$28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'3pyramid (0)'!$J$28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0"/>
          <c:order val="54"/>
          <c:tx>
            <c:strRef>
              <c:f>'3pyramid (0)'!$B$29</c:f>
              <c:strCache>
                <c:ptCount val="1"/>
                <c:pt idx="0">
                  <c:v>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'3pyramid (0)'!$I$29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'3pyramid (0)'!$J$29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1"/>
          <c:order val="55"/>
          <c:tx>
            <c:strRef>
              <c:f>'3pyramid (0)'!$B$30</c:f>
              <c:strCache>
                <c:ptCount val="1"/>
                <c:pt idx="0">
                  <c:v>U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'3pyramid (0)'!$I$30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'3pyramid (0)'!$J$30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2"/>
          <c:order val="56"/>
          <c:tx>
            <c:strRef>
              <c:f>'3pyramid (0)'!$B$31</c:f>
              <c:strCache>
                <c:ptCount val="1"/>
                <c:pt idx="0">
                  <c:v>V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'3pyramid (0)'!$I$31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'3pyramid (0)'!$J$31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15"/>
          <c:order val="57"/>
          <c:tx>
            <c:strRef>
              <c:f>'3pyramid (0)'!$B$32</c:f>
              <c:strCache>
                <c:ptCount val="1"/>
                <c:pt idx="0">
                  <c:v>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'3pyramid (0)'!$I$32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'3pyramid (0)'!$J$32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4"/>
          <c:order val="58"/>
          <c:tx>
            <c:strRef>
              <c:f>'3pyramid (0)'!$B$33</c:f>
              <c:strCache>
                <c:ptCount val="1"/>
                <c:pt idx="0">
                  <c:v>X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'3pyramid (0)'!$I$33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'3pyramid (0)'!$J$33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5"/>
          <c:order val="59"/>
          <c:tx>
            <c:strRef>
              <c:f>'3pyramid (0)'!$B$34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'3pyramid (0)'!$I$34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'3pyramid (0)'!$J$34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3"/>
          <c:order val="60"/>
          <c:tx>
            <c:strRef>
              <c:f>'3pyramid (0)'!$B$35</c:f>
              <c:strCache>
                <c:ptCount val="1"/>
                <c:pt idx="0">
                  <c:v>Z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'3pyramid (0)'!$I$35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'3pyramid (0)'!$J$35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435200"/>
        <c:axId val="156436736"/>
      </c:scatterChart>
      <c:valAx>
        <c:axId val="156435200"/>
        <c:scaling>
          <c:orientation val="minMax"/>
          <c:max val="2.5"/>
          <c:min val="-2.5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9525">
            <a:noFill/>
          </a:ln>
        </c:spPr>
        <c:crossAx val="156436736"/>
        <c:crosses val="autoZero"/>
        <c:crossBetween val="midCat"/>
      </c:valAx>
      <c:valAx>
        <c:axId val="156436736"/>
        <c:scaling>
          <c:orientation val="minMax"/>
          <c:max val="2.5"/>
          <c:min val="-2.5"/>
        </c:scaling>
        <c:delete val="0"/>
        <c:axPos val="l"/>
        <c:numFmt formatCode="0.00" sourceLinked="1"/>
        <c:majorTickMark val="none"/>
        <c:minorTickMark val="none"/>
        <c:tickLblPos val="none"/>
        <c:spPr>
          <a:ln w="9525">
            <a:noFill/>
          </a:ln>
        </c:spPr>
        <c:crossAx val="15643520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CC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k-SK"/>
    </a:p>
  </c:txPr>
  <c:printSettings>
    <c:headerFooter alignWithMargins="0"/>
    <c:pageMargins b="1" l="0.75" r="0.75" t="1" header="0.4921259845" footer="0.492125984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38100</xdr:colOff>
      <xdr:row>0</xdr:row>
      <xdr:rowOff>85725</xdr:rowOff>
    </xdr:from>
    <xdr:to>
      <xdr:col>23</xdr:col>
      <xdr:colOff>333375</xdr:colOff>
      <xdr:row>30</xdr:row>
      <xdr:rowOff>0</xdr:rowOff>
    </xdr:to>
    <xdr:graphicFrame macro="">
      <xdr:nvGraphicFramePr>
        <xdr:cNvPr id="2" name="Graf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</xdr:row>
          <xdr:rowOff>0</xdr:rowOff>
        </xdr:from>
        <xdr:to>
          <xdr:col>10</xdr:col>
          <xdr:colOff>295275</xdr:colOff>
          <xdr:row>2</xdr:row>
          <xdr:rowOff>9525</xdr:rowOff>
        </xdr:to>
        <xdr:sp macro="" textlink="">
          <xdr:nvSpPr>
            <xdr:cNvPr id="78849" name="ScrollBar1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</xdr:row>
          <xdr:rowOff>0</xdr:rowOff>
        </xdr:from>
        <xdr:to>
          <xdr:col>10</xdr:col>
          <xdr:colOff>295275</xdr:colOff>
          <xdr:row>3</xdr:row>
          <xdr:rowOff>9525</xdr:rowOff>
        </xdr:to>
        <xdr:sp macro="" textlink="">
          <xdr:nvSpPr>
            <xdr:cNvPr id="78850" name="ScrollBar2" hidden="1">
              <a:extLst>
                <a:ext uri="{63B3BB69-23CF-44E3-9099-C40C66FF867C}">
                  <a14:compatExt spid="_x0000_s78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27</xdr:row>
          <xdr:rowOff>152400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78851" name="SpinButton1" hidden="1">
              <a:extLst>
                <a:ext uri="{63B3BB69-23CF-44E3-9099-C40C66FF867C}">
                  <a14:compatExt spid="_x0000_s78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4</xdr:row>
          <xdr:rowOff>133350</xdr:rowOff>
        </xdr:from>
        <xdr:to>
          <xdr:col>10</xdr:col>
          <xdr:colOff>66675</xdr:colOff>
          <xdr:row>6</xdr:row>
          <xdr:rowOff>57150</xdr:rowOff>
        </xdr:to>
        <xdr:sp macro="" textlink="">
          <xdr:nvSpPr>
            <xdr:cNvPr id="78852" name="CheckBox1" hidden="1">
              <a:extLst>
                <a:ext uri="{63B3BB69-23CF-44E3-9099-C40C66FF867C}">
                  <a14:compatExt spid="_x0000_s78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37</xdr:row>
      <xdr:rowOff>0</xdr:rowOff>
    </xdr:from>
    <xdr:to>
      <xdr:col>20</xdr:col>
      <xdr:colOff>219075</xdr:colOff>
      <xdr:row>46</xdr:row>
      <xdr:rowOff>9524</xdr:rowOff>
    </xdr:to>
    <xdr:sp macro="" textlink="">
      <xdr:nvSpPr>
        <xdr:cNvPr id="9" name="BlokTextu 8"/>
        <xdr:cNvSpPr txBox="1"/>
      </xdr:nvSpPr>
      <xdr:spPr>
        <a:xfrm>
          <a:off x="47625" y="6038850"/>
          <a:ext cx="5553075" cy="1466849"/>
        </a:xfrm>
        <a:prstGeom prst="rect">
          <a:avLst/>
        </a:prstGeom>
        <a:solidFill>
          <a:srgbClr val="FFFF99"/>
        </a:solidFill>
        <a:ln w="9525" cmpd="sng">
          <a:solidFill>
            <a:srgbClr val="0000F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k-SK" sz="1100" b="1"/>
            <a:t>Stereometry 1.0; spreadsheets for solving solid geometry (stereometry) tasks at high school</a:t>
          </a:r>
          <a:endParaRPr lang="en-US" sz="1100" b="1"/>
        </a:p>
        <a:p>
          <a:r>
            <a:rPr lang="sk-SK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Copyright © 2016 Jan Benacka</a:t>
          </a:r>
        </a:p>
        <a:p>
          <a:r>
            <a:rPr lang="sk-SK" sz="1100"/>
            <a:t>This program is free software: you can redistribute it and/or modify</a:t>
          </a:r>
          <a:r>
            <a:rPr lang="en-US" sz="1100"/>
            <a:t> </a:t>
          </a:r>
          <a:r>
            <a:rPr lang="sk-SK" sz="1100"/>
            <a:t>it under the terms of the GNU General Public License as published by</a:t>
          </a:r>
          <a:r>
            <a:rPr lang="en-US" sz="1100"/>
            <a:t> </a:t>
          </a:r>
          <a:r>
            <a:rPr lang="sk-SK" sz="1100"/>
            <a:t>the Free Software Foundation, either version 3 of the License, or</a:t>
          </a:r>
          <a:r>
            <a:rPr lang="en-US" sz="1100"/>
            <a:t> </a:t>
          </a:r>
          <a:r>
            <a:rPr lang="sk-SK" sz="1100"/>
            <a:t>(at your option) any later version.</a:t>
          </a:r>
          <a:r>
            <a:rPr lang="en-US" sz="1100"/>
            <a:t> </a:t>
          </a:r>
          <a:r>
            <a:rPr lang="sk-SK" sz="1100"/>
            <a:t>This program is distributed in the hope that it will be useful,</a:t>
          </a:r>
          <a:r>
            <a:rPr lang="en-US" sz="1100"/>
            <a:t> </a:t>
          </a:r>
          <a:r>
            <a:rPr lang="sk-SK" sz="1100"/>
            <a:t>but WITHOUT ANY WARRANTY; without even the implied warranty of</a:t>
          </a:r>
          <a:r>
            <a:rPr lang="en-US" sz="1100"/>
            <a:t> </a:t>
          </a:r>
          <a:r>
            <a:rPr lang="sk-SK" sz="1100"/>
            <a:t>MERCHANTABILITY or FITNESS FOR A PARTICULAR PURPOSE.  See the</a:t>
          </a:r>
          <a:r>
            <a:rPr lang="en-US" sz="1100"/>
            <a:t> </a:t>
          </a:r>
          <a:r>
            <a:rPr lang="sk-SK" sz="1100"/>
            <a:t>GNU General Public License for more details.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29"/>
  <dimension ref="B1:AZ55"/>
  <sheetViews>
    <sheetView showGridLines="0" tabSelected="1" zoomScaleNormal="100" workbookViewId="0">
      <selection activeCell="AV7" sqref="AV7"/>
    </sheetView>
  </sheetViews>
  <sheetFormatPr defaultRowHeight="12.75" x14ac:dyDescent="0.2"/>
  <cols>
    <col min="1" max="1" width="0.7109375" style="1" customWidth="1"/>
    <col min="2" max="2" width="5.7109375" style="1" customWidth="1"/>
    <col min="3" max="3" width="5.5703125" style="1" customWidth="1"/>
    <col min="4" max="4" width="5.85546875" style="1" customWidth="1"/>
    <col min="5" max="5" width="6.140625" style="1" bestFit="1" customWidth="1"/>
    <col min="6" max="7" width="5.7109375" style="1" hidden="1" customWidth="1"/>
    <col min="8" max="8" width="5.85546875" style="1" hidden="1" customWidth="1"/>
    <col min="9" max="10" width="5.7109375" style="1" hidden="1" customWidth="1"/>
    <col min="11" max="11" width="5.28515625" style="1" customWidth="1"/>
    <col min="12" max="21" width="5.7109375" style="1" customWidth="1"/>
    <col min="22" max="22" width="5" style="1" customWidth="1"/>
    <col min="23" max="23" width="5.7109375" style="1" customWidth="1"/>
    <col min="24" max="24" width="5.5703125" style="1" customWidth="1"/>
    <col min="25" max="26" width="5.7109375" style="1" bestFit="1" customWidth="1"/>
    <col min="27" max="28" width="5.7109375" style="1" hidden="1" customWidth="1"/>
    <col min="29" max="30" width="6.85546875" style="1" hidden="1" customWidth="1"/>
    <col min="31" max="31" width="0.5703125" style="1" customWidth="1"/>
    <col min="32" max="32" width="5.85546875" style="1" hidden="1" customWidth="1"/>
    <col min="33" max="33" width="6.5703125" style="1" hidden="1" customWidth="1"/>
    <col min="34" max="34" width="6.42578125" style="1" hidden="1" customWidth="1"/>
    <col min="35" max="35" width="5.140625" style="1" hidden="1" customWidth="1"/>
    <col min="36" max="36" width="0.7109375" style="1" hidden="1" customWidth="1"/>
    <col min="37" max="37" width="5.28515625" style="1" hidden="1" customWidth="1"/>
    <col min="38" max="38" width="5.42578125" style="1" hidden="1" customWidth="1"/>
    <col min="39" max="39" width="5.28515625" style="1" hidden="1" customWidth="1"/>
    <col min="40" max="40" width="1" style="1" hidden="1" customWidth="1"/>
    <col min="41" max="41" width="7.140625" style="1" hidden="1" customWidth="1"/>
    <col min="42" max="42" width="5.140625" style="1" hidden="1" customWidth="1"/>
    <col min="43" max="43" width="6.140625" style="1" hidden="1" customWidth="1"/>
    <col min="44" max="44" width="5.5703125" style="1" hidden="1" customWidth="1"/>
    <col min="45" max="45" width="1.140625" style="1" customWidth="1"/>
    <col min="46" max="51" width="9.140625" style="1"/>
    <col min="52" max="52" width="5.5703125" style="1" customWidth="1"/>
    <col min="53" max="16384" width="9.140625" style="1"/>
  </cols>
  <sheetData>
    <row r="1" spans="2:52" ht="16.5" customHeight="1" x14ac:dyDescent="0.25">
      <c r="B1" s="15" t="s">
        <v>57</v>
      </c>
      <c r="Y1" s="48" t="s">
        <v>2</v>
      </c>
      <c r="Z1" s="48"/>
      <c r="AF1" s="48" t="s">
        <v>54</v>
      </c>
      <c r="AG1" s="48"/>
      <c r="AH1" s="48"/>
      <c r="AI1" s="48"/>
      <c r="AK1" s="9" t="s">
        <v>3</v>
      </c>
      <c r="AL1" s="9" t="s">
        <v>4</v>
      </c>
      <c r="AM1" s="9" t="s">
        <v>5</v>
      </c>
      <c r="AO1" s="9" t="s">
        <v>42</v>
      </c>
      <c r="AP1" s="14">
        <v>215</v>
      </c>
      <c r="AQ1" s="16" t="s">
        <v>0</v>
      </c>
      <c r="AR1" s="17">
        <f>RADIANS(C2)</f>
        <v>0.6108652381980153</v>
      </c>
      <c r="AT1" s="43" t="s">
        <v>58</v>
      </c>
    </row>
    <row r="2" spans="2:52" ht="12.75" customHeight="1" x14ac:dyDescent="0.2">
      <c r="B2" s="30" t="s">
        <v>0</v>
      </c>
      <c r="C2" s="25">
        <f>AP1-180</f>
        <v>35</v>
      </c>
      <c r="U2" s="2"/>
      <c r="V2" s="2"/>
      <c r="W2" s="2"/>
      <c r="X2" s="2"/>
      <c r="Y2" s="32" t="s">
        <v>33</v>
      </c>
      <c r="Z2" s="32" t="s">
        <v>33</v>
      </c>
      <c r="AA2" s="9" t="s">
        <v>47</v>
      </c>
      <c r="AB2" s="9" t="s">
        <v>48</v>
      </c>
      <c r="AC2" s="9" t="s">
        <v>49</v>
      </c>
      <c r="AD2" s="9" t="s">
        <v>50</v>
      </c>
      <c r="AF2" s="51" t="s">
        <v>55</v>
      </c>
      <c r="AG2" s="52"/>
      <c r="AH2" s="52"/>
      <c r="AI2" s="34"/>
      <c r="AK2" s="35" t="e">
        <f>VLOOKUP(AI2,$B$10:$H$35,5)</f>
        <v>#N/A</v>
      </c>
      <c r="AL2" s="35" t="e">
        <f>VLOOKUP(AI2,$B$10:$H$35,6)</f>
        <v>#N/A</v>
      </c>
      <c r="AM2" s="35" t="e">
        <f>VLOOKUP(AI2,$B$10:$H$35,7)</f>
        <v>#N/A</v>
      </c>
      <c r="AO2" s="9" t="s">
        <v>43</v>
      </c>
      <c r="AP2" s="14">
        <v>115</v>
      </c>
      <c r="AQ2" s="16" t="s">
        <v>51</v>
      </c>
      <c r="AR2" s="17">
        <f>RADIANS(C3)</f>
        <v>0.43633231299858238</v>
      </c>
      <c r="AT2"/>
      <c r="AU2"/>
      <c r="AV2"/>
      <c r="AW2"/>
      <c r="AX2"/>
      <c r="AY2"/>
      <c r="AZ2"/>
    </row>
    <row r="3" spans="2:52" x14ac:dyDescent="0.2">
      <c r="B3" s="30" t="s">
        <v>51</v>
      </c>
      <c r="C3" s="26">
        <f>AP2-90</f>
        <v>25</v>
      </c>
      <c r="Y3" s="3"/>
      <c r="Z3" s="3"/>
      <c r="AA3" s="17" t="e">
        <f t="shared" ref="AA3:AB27" si="0">VLOOKUP(Y3,$B$10:$J$35,8)</f>
        <v>#N/A</v>
      </c>
      <c r="AB3" s="17" t="e">
        <f t="shared" si="0"/>
        <v>#N/A</v>
      </c>
      <c r="AC3" s="17" t="e">
        <f t="shared" ref="AC3:AD27" si="1">VLOOKUP(Y3,$B$10:$J$35,9)</f>
        <v>#N/A</v>
      </c>
      <c r="AD3" s="17" t="e">
        <f t="shared" si="1"/>
        <v>#N/A</v>
      </c>
      <c r="AE3" s="4"/>
      <c r="AF3" s="52"/>
      <c r="AG3" s="52"/>
      <c r="AH3" s="52"/>
      <c r="AI3" s="36"/>
      <c r="AK3" s="35" t="e">
        <f>VLOOKUP(AI3,$B$10:$H$35,5)</f>
        <v>#N/A</v>
      </c>
      <c r="AL3" s="35" t="e">
        <f>VLOOKUP(AI3,$B$10:$H$35,6)</f>
        <v>#N/A</v>
      </c>
      <c r="AM3" s="35" t="e">
        <f>VLOOKUP(AI3,$B$10:$H$35,7)</f>
        <v>#N/A</v>
      </c>
      <c r="AT3"/>
      <c r="AU3"/>
      <c r="AV3"/>
      <c r="AW3"/>
      <c r="AX3"/>
      <c r="AY3"/>
      <c r="AZ3"/>
    </row>
    <row r="4" spans="2:52" x14ac:dyDescent="0.2">
      <c r="B4" s="5" t="s">
        <v>53</v>
      </c>
      <c r="C4" s="5"/>
      <c r="Y4" s="3"/>
      <c r="Z4" s="3"/>
      <c r="AA4" s="17" t="e">
        <f t="shared" si="0"/>
        <v>#N/A</v>
      </c>
      <c r="AB4" s="17" t="e">
        <f t="shared" si="0"/>
        <v>#N/A</v>
      </c>
      <c r="AC4" s="17" t="e">
        <f t="shared" si="1"/>
        <v>#N/A</v>
      </c>
      <c r="AD4" s="17" t="e">
        <f t="shared" si="1"/>
        <v>#N/A</v>
      </c>
      <c r="AE4" s="4"/>
      <c r="AF4" s="52"/>
      <c r="AG4" s="52"/>
      <c r="AH4" s="52"/>
      <c r="AI4" s="36"/>
      <c r="AK4" s="35" t="e">
        <f>VLOOKUP(AI4,$B$10:$H$35,5)</f>
        <v>#N/A</v>
      </c>
      <c r="AL4" s="35" t="e">
        <f>VLOOKUP(AI4,$B$10:$H$35,6)</f>
        <v>#N/A</v>
      </c>
      <c r="AM4" s="35" t="e">
        <f>VLOOKUP(AI4,$B$10:$H$35,7)</f>
        <v>#N/A</v>
      </c>
      <c r="AT4"/>
      <c r="AU4"/>
      <c r="AV4"/>
      <c r="AW4"/>
      <c r="AX4"/>
      <c r="AY4"/>
      <c r="AZ4"/>
    </row>
    <row r="5" spans="2:52" x14ac:dyDescent="0.2">
      <c r="B5" s="31" t="s">
        <v>1</v>
      </c>
      <c r="C5" s="6">
        <v>3</v>
      </c>
      <c r="Y5" s="3"/>
      <c r="Z5" s="3"/>
      <c r="AA5" s="17" t="e">
        <f t="shared" si="0"/>
        <v>#N/A</v>
      </c>
      <c r="AB5" s="17" t="e">
        <f t="shared" si="0"/>
        <v>#N/A</v>
      </c>
      <c r="AC5" s="17" t="e">
        <f t="shared" si="1"/>
        <v>#N/A</v>
      </c>
      <c r="AD5" s="17" t="e">
        <f t="shared" si="1"/>
        <v>#N/A</v>
      </c>
      <c r="AE5" s="4"/>
      <c r="AF5" s="48" t="s">
        <v>34</v>
      </c>
      <c r="AG5" s="48"/>
      <c r="AH5" s="48"/>
      <c r="AI5" s="48"/>
      <c r="AK5" s="48" t="s">
        <v>35</v>
      </c>
      <c r="AL5" s="48"/>
      <c r="AM5" s="48"/>
      <c r="AT5"/>
      <c r="AU5"/>
      <c r="AV5"/>
      <c r="AW5"/>
      <c r="AX5"/>
      <c r="AY5"/>
      <c r="AZ5"/>
    </row>
    <row r="6" spans="2:52" x14ac:dyDescent="0.2">
      <c r="B6" s="31" t="s">
        <v>40</v>
      </c>
      <c r="C6" s="42">
        <v>3</v>
      </c>
      <c r="Y6" s="3"/>
      <c r="Z6" s="3"/>
      <c r="AA6" s="17" t="e">
        <f t="shared" si="0"/>
        <v>#N/A</v>
      </c>
      <c r="AB6" s="17" t="e">
        <f t="shared" si="0"/>
        <v>#N/A</v>
      </c>
      <c r="AC6" s="17" t="e">
        <f t="shared" si="1"/>
        <v>#N/A</v>
      </c>
      <c r="AD6" s="17" t="e">
        <f t="shared" si="1"/>
        <v>#N/A</v>
      </c>
      <c r="AE6" s="4"/>
      <c r="AF6" s="9" t="s">
        <v>33</v>
      </c>
      <c r="AG6" s="49" t="s">
        <v>31</v>
      </c>
      <c r="AH6" s="50"/>
      <c r="AI6" s="9" t="s">
        <v>32</v>
      </c>
      <c r="AK6" s="9" t="s">
        <v>3</v>
      </c>
      <c r="AL6" s="9" t="s">
        <v>4</v>
      </c>
      <c r="AM6" s="9" t="s">
        <v>5</v>
      </c>
      <c r="AO6" s="9" t="s">
        <v>38</v>
      </c>
      <c r="AP6" s="9" t="s">
        <v>3</v>
      </c>
      <c r="AQ6" s="9" t="s">
        <v>4</v>
      </c>
      <c r="AR6" s="9" t="s">
        <v>5</v>
      </c>
      <c r="AT6"/>
      <c r="AU6"/>
      <c r="AV6"/>
      <c r="AW6"/>
      <c r="AX6"/>
      <c r="AY6"/>
      <c r="AZ6"/>
    </row>
    <row r="7" spans="2:52" x14ac:dyDescent="0.2">
      <c r="Y7" s="3"/>
      <c r="Z7" s="3"/>
      <c r="AA7" s="17" t="e">
        <f t="shared" si="0"/>
        <v>#N/A</v>
      </c>
      <c r="AB7" s="17" t="e">
        <f t="shared" si="0"/>
        <v>#N/A</v>
      </c>
      <c r="AC7" s="17" t="e">
        <f t="shared" si="1"/>
        <v>#N/A</v>
      </c>
      <c r="AD7" s="17" t="e">
        <f t="shared" si="1"/>
        <v>#N/A</v>
      </c>
      <c r="AE7" s="4"/>
      <c r="AF7" s="37" t="str">
        <f t="shared" ref="AF7:AF12" si="2">IF(AND(AI7&gt;=0,AI7&lt;=1),"X","")</f>
        <v/>
      </c>
      <c r="AG7" s="38" t="s">
        <v>7</v>
      </c>
      <c r="AH7" s="38" t="s">
        <v>9</v>
      </c>
      <c r="AI7" s="39" t="str">
        <f>IFERROR(SUMPRODUCT(AP7:AR7,$AP$17:$AR$17)/SUMPRODUCT(AK7:AM7,$AP$17:$AR$17),"")</f>
        <v/>
      </c>
      <c r="AK7" s="40">
        <f t="shared" ref="AK7:AM8" si="3">F11-F10</f>
        <v>0</v>
      </c>
      <c r="AL7" s="40">
        <f t="shared" si="3"/>
        <v>3</v>
      </c>
      <c r="AM7" s="40">
        <f t="shared" si="3"/>
        <v>0</v>
      </c>
      <c r="AO7" s="9" t="str">
        <f>CONCATENATE("A",$AI$2)</f>
        <v>A</v>
      </c>
      <c r="AP7" s="40" t="e">
        <f t="shared" ref="AP7:AR9" si="4">AK$2-F10</f>
        <v>#N/A</v>
      </c>
      <c r="AQ7" s="40" t="e">
        <f t="shared" si="4"/>
        <v>#N/A</v>
      </c>
      <c r="AR7" s="40" t="e">
        <f t="shared" si="4"/>
        <v>#N/A</v>
      </c>
      <c r="AT7"/>
      <c r="AU7"/>
      <c r="AV7"/>
      <c r="AW7"/>
      <c r="AX7"/>
      <c r="AY7"/>
      <c r="AZ7"/>
    </row>
    <row r="8" spans="2:52" x14ac:dyDescent="0.2">
      <c r="B8" s="18" t="s">
        <v>44</v>
      </c>
      <c r="Y8" s="3"/>
      <c r="Z8" s="3"/>
      <c r="AA8" s="17" t="e">
        <f t="shared" si="0"/>
        <v>#N/A</v>
      </c>
      <c r="AB8" s="17" t="e">
        <f t="shared" si="0"/>
        <v>#N/A</v>
      </c>
      <c r="AC8" s="17" t="e">
        <f t="shared" si="1"/>
        <v>#N/A</v>
      </c>
      <c r="AD8" s="17" t="e">
        <f t="shared" si="1"/>
        <v>#N/A</v>
      </c>
      <c r="AE8" s="4"/>
      <c r="AF8" s="37" t="str">
        <f t="shared" si="2"/>
        <v/>
      </c>
      <c r="AG8" s="38" t="s">
        <v>9</v>
      </c>
      <c r="AH8" s="38" t="s">
        <v>10</v>
      </c>
      <c r="AI8" s="39" t="str">
        <f t="shared" ref="AI8:AI12" si="5">IFERROR(SUMPRODUCT(AP8:AR8,$AP$17:$AR$17)/SUMPRODUCT(AK8:AM8,$AP$17:$AR$17),"")</f>
        <v/>
      </c>
      <c r="AK8" s="40">
        <f t="shared" si="3"/>
        <v>-2.598076211353316</v>
      </c>
      <c r="AL8" s="40">
        <f t="shared" si="3"/>
        <v>-1.5</v>
      </c>
      <c r="AM8" s="40">
        <f t="shared" si="3"/>
        <v>0</v>
      </c>
      <c r="AO8" s="9" t="str">
        <f>CONCATENATE("B",$AI$2)</f>
        <v>B</v>
      </c>
      <c r="AP8" s="40" t="e">
        <f t="shared" si="4"/>
        <v>#N/A</v>
      </c>
      <c r="AQ8" s="40" t="e">
        <f t="shared" si="4"/>
        <v>#N/A</v>
      </c>
      <c r="AR8" s="40" t="e">
        <f t="shared" si="4"/>
        <v>#N/A</v>
      </c>
      <c r="AT8"/>
      <c r="AU8"/>
      <c r="AV8"/>
      <c r="AW8"/>
      <c r="AX8"/>
      <c r="AY8"/>
      <c r="AZ8"/>
    </row>
    <row r="9" spans="2:52" x14ac:dyDescent="0.2">
      <c r="B9" s="27"/>
      <c r="C9" s="12" t="s">
        <v>3</v>
      </c>
      <c r="D9" s="12" t="s">
        <v>4</v>
      </c>
      <c r="E9" s="12" t="s">
        <v>5</v>
      </c>
      <c r="F9" s="9" t="s">
        <v>3</v>
      </c>
      <c r="G9" s="9" t="s">
        <v>4</v>
      </c>
      <c r="H9" s="9" t="s">
        <v>5</v>
      </c>
      <c r="I9" s="41" t="s">
        <v>45</v>
      </c>
      <c r="J9" s="9" t="s">
        <v>46</v>
      </c>
      <c r="Y9" s="3"/>
      <c r="Z9" s="3"/>
      <c r="AA9" s="17" t="e">
        <f t="shared" si="0"/>
        <v>#N/A</v>
      </c>
      <c r="AB9" s="17" t="e">
        <f t="shared" si="0"/>
        <v>#N/A</v>
      </c>
      <c r="AC9" s="17" t="e">
        <f t="shared" si="1"/>
        <v>#N/A</v>
      </c>
      <c r="AD9" s="17" t="e">
        <f t="shared" si="1"/>
        <v>#N/A</v>
      </c>
      <c r="AE9" s="4"/>
      <c r="AF9" s="37" t="str">
        <f t="shared" si="2"/>
        <v/>
      </c>
      <c r="AG9" s="38" t="s">
        <v>10</v>
      </c>
      <c r="AH9" s="38" t="s">
        <v>7</v>
      </c>
      <c r="AI9" s="39" t="str">
        <f t="shared" si="5"/>
        <v/>
      </c>
      <c r="AK9" s="40">
        <f>F10-F12</f>
        <v>2.598076211353316</v>
      </c>
      <c r="AL9" s="40">
        <f>G10-G12</f>
        <v>-1.5</v>
      </c>
      <c r="AM9" s="40">
        <f>H10-H12</f>
        <v>0</v>
      </c>
      <c r="AO9" s="9" t="str">
        <f>CONCATENATE("C",$AI$2)</f>
        <v>C</v>
      </c>
      <c r="AP9" s="40" t="e">
        <f t="shared" si="4"/>
        <v>#N/A</v>
      </c>
      <c r="AQ9" s="40" t="e">
        <f t="shared" si="4"/>
        <v>#N/A</v>
      </c>
      <c r="AR9" s="40" t="e">
        <f t="shared" si="4"/>
        <v>#N/A</v>
      </c>
      <c r="AT9"/>
      <c r="AU9"/>
      <c r="AV9"/>
      <c r="AW9"/>
      <c r="AX9"/>
      <c r="AY9"/>
      <c r="AZ9"/>
    </row>
    <row r="10" spans="2:52" x14ac:dyDescent="0.2">
      <c r="B10" s="12" t="s">
        <v>7</v>
      </c>
      <c r="C10" s="28">
        <f>C5*SQRT(3)/2/3</f>
        <v>0.86602540378443871</v>
      </c>
      <c r="D10" s="28">
        <f>-C5/2</f>
        <v>-1.5</v>
      </c>
      <c r="E10" s="28">
        <f>-C6/2</f>
        <v>-1.5</v>
      </c>
      <c r="F10" s="14">
        <f t="shared" ref="F10:H17" si="6">C10</f>
        <v>0.86602540378443871</v>
      </c>
      <c r="G10" s="19">
        <f t="shared" si="6"/>
        <v>-1.5</v>
      </c>
      <c r="H10" s="19">
        <f>E10</f>
        <v>-1.5</v>
      </c>
      <c r="I10" s="20">
        <f t="shared" ref="I10:I17" si="7">-C10*SIN($AR$1)+D10*COS($AR$1)</f>
        <v>-1.7254598313256417</v>
      </c>
      <c r="J10" s="17">
        <f t="shared" ref="J10:J17" si="8">-C10*SIN($AR$2)*COS($AR$1)-D10*SIN($AR$2)*SIN($AR$1)+E10*COS($AR$2)</f>
        <v>-1.2956639992056012</v>
      </c>
      <c r="Y10" s="3"/>
      <c r="Z10" s="3"/>
      <c r="AA10" s="17" t="e">
        <f t="shared" si="0"/>
        <v>#N/A</v>
      </c>
      <c r="AB10" s="17" t="e">
        <f t="shared" si="0"/>
        <v>#N/A</v>
      </c>
      <c r="AC10" s="17" t="e">
        <f t="shared" si="1"/>
        <v>#N/A</v>
      </c>
      <c r="AD10" s="17" t="e">
        <f t="shared" si="1"/>
        <v>#N/A</v>
      </c>
      <c r="AE10" s="4"/>
      <c r="AF10" s="37" t="str">
        <f t="shared" si="2"/>
        <v/>
      </c>
      <c r="AG10" s="38" t="s">
        <v>7</v>
      </c>
      <c r="AH10" s="38" t="s">
        <v>12</v>
      </c>
      <c r="AI10" s="39" t="str">
        <f t="shared" si="5"/>
        <v/>
      </c>
      <c r="AK10" s="40">
        <f>F13-F10</f>
        <v>-0.86602540378443871</v>
      </c>
      <c r="AL10" s="40">
        <f>G13-G10</f>
        <v>1.5</v>
      </c>
      <c r="AM10" s="40">
        <f>H13-H10</f>
        <v>3</v>
      </c>
      <c r="AO10" s="9" t="str">
        <f>CONCATENATE("A",$AI$2)</f>
        <v>A</v>
      </c>
      <c r="AP10" s="40" t="e">
        <f t="shared" ref="AP10:AR12" si="9">AK$2-F10</f>
        <v>#N/A</v>
      </c>
      <c r="AQ10" s="40" t="e">
        <f t="shared" si="9"/>
        <v>#N/A</v>
      </c>
      <c r="AR10" s="40" t="e">
        <f t="shared" si="9"/>
        <v>#N/A</v>
      </c>
      <c r="AT10"/>
      <c r="AU10"/>
      <c r="AV10"/>
      <c r="AW10"/>
      <c r="AX10"/>
      <c r="AY10"/>
      <c r="AZ10"/>
    </row>
    <row r="11" spans="2:52" x14ac:dyDescent="0.2">
      <c r="B11" s="12" t="s">
        <v>9</v>
      </c>
      <c r="C11" s="28">
        <f>C10</f>
        <v>0.86602540378443871</v>
      </c>
      <c r="D11" s="28">
        <f>-D10</f>
        <v>1.5</v>
      </c>
      <c r="E11" s="28">
        <f>E10</f>
        <v>-1.5</v>
      </c>
      <c r="F11" s="14">
        <f t="shared" si="6"/>
        <v>0.86602540378443871</v>
      </c>
      <c r="G11" s="19">
        <f t="shared" si="6"/>
        <v>1.5</v>
      </c>
      <c r="H11" s="19">
        <f>E11</f>
        <v>-1.5</v>
      </c>
      <c r="I11" s="20">
        <f t="shared" si="7"/>
        <v>0.73199630154133355</v>
      </c>
      <c r="J11" s="17">
        <f t="shared" si="8"/>
        <v>-2.0228756287239129</v>
      </c>
      <c r="Y11" s="3"/>
      <c r="Z11" s="3"/>
      <c r="AA11" s="17" t="e">
        <f t="shared" si="0"/>
        <v>#N/A</v>
      </c>
      <c r="AB11" s="17" t="e">
        <f t="shared" si="0"/>
        <v>#N/A</v>
      </c>
      <c r="AC11" s="17" t="e">
        <f t="shared" si="1"/>
        <v>#N/A</v>
      </c>
      <c r="AD11" s="17" t="e">
        <f t="shared" si="1"/>
        <v>#N/A</v>
      </c>
      <c r="AE11" s="4"/>
      <c r="AF11" s="37" t="str">
        <f t="shared" si="2"/>
        <v/>
      </c>
      <c r="AG11" s="38" t="s">
        <v>9</v>
      </c>
      <c r="AH11" s="38" t="s">
        <v>12</v>
      </c>
      <c r="AI11" s="39" t="str">
        <f t="shared" si="5"/>
        <v/>
      </c>
      <c r="AK11" s="40">
        <f>F13-F11</f>
        <v>-0.86602540378443871</v>
      </c>
      <c r="AL11" s="40">
        <f>G13-G11</f>
        <v>-1.5</v>
      </c>
      <c r="AM11" s="40">
        <f>H13-H11</f>
        <v>3</v>
      </c>
      <c r="AO11" s="9" t="str">
        <f>CONCATENATE("B",$AI$2)</f>
        <v>B</v>
      </c>
      <c r="AP11" s="40" t="e">
        <f t="shared" si="9"/>
        <v>#N/A</v>
      </c>
      <c r="AQ11" s="40" t="e">
        <f t="shared" si="9"/>
        <v>#N/A</v>
      </c>
      <c r="AR11" s="40" t="e">
        <f t="shared" si="9"/>
        <v>#N/A</v>
      </c>
      <c r="AT11"/>
      <c r="AU11"/>
      <c r="AV11"/>
      <c r="AW11"/>
      <c r="AX11"/>
      <c r="AY11"/>
      <c r="AZ11"/>
    </row>
    <row r="12" spans="2:52" x14ac:dyDescent="0.2">
      <c r="B12" s="12" t="s">
        <v>10</v>
      </c>
      <c r="C12" s="28">
        <f>-2*C10</f>
        <v>-1.7320508075688774</v>
      </c>
      <c r="D12" s="28">
        <v>0</v>
      </c>
      <c r="E12" s="28">
        <f>E11</f>
        <v>-1.5</v>
      </c>
      <c r="F12" s="14">
        <f t="shared" si="6"/>
        <v>-1.7320508075688774</v>
      </c>
      <c r="G12" s="19">
        <f t="shared" si="6"/>
        <v>0</v>
      </c>
      <c r="H12" s="19">
        <f>E12</f>
        <v>-1.5</v>
      </c>
      <c r="I12" s="20">
        <f t="shared" si="7"/>
        <v>0.99346352978430807</v>
      </c>
      <c r="J12" s="17">
        <f t="shared" si="8"/>
        <v>-0.75984541373541015</v>
      </c>
      <c r="Y12" s="3"/>
      <c r="Z12" s="3"/>
      <c r="AA12" s="17" t="e">
        <f t="shared" si="0"/>
        <v>#N/A</v>
      </c>
      <c r="AB12" s="17" t="e">
        <f t="shared" si="0"/>
        <v>#N/A</v>
      </c>
      <c r="AC12" s="17" t="e">
        <f t="shared" si="1"/>
        <v>#N/A</v>
      </c>
      <c r="AD12" s="17" t="e">
        <f t="shared" si="1"/>
        <v>#N/A</v>
      </c>
      <c r="AE12" s="4"/>
      <c r="AF12" s="37" t="str">
        <f t="shared" si="2"/>
        <v/>
      </c>
      <c r="AG12" s="38" t="s">
        <v>10</v>
      </c>
      <c r="AH12" s="38" t="s">
        <v>12</v>
      </c>
      <c r="AI12" s="39" t="str">
        <f t="shared" si="5"/>
        <v/>
      </c>
      <c r="AK12" s="40">
        <f>F13-F12</f>
        <v>1.7320508075688774</v>
      </c>
      <c r="AL12" s="40">
        <f>G13-G12</f>
        <v>0</v>
      </c>
      <c r="AM12" s="40">
        <f>H13-H12</f>
        <v>3</v>
      </c>
      <c r="AO12" s="9" t="str">
        <f>CONCATENATE("C",$AI$2)</f>
        <v>C</v>
      </c>
      <c r="AP12" s="40" t="e">
        <f t="shared" si="9"/>
        <v>#N/A</v>
      </c>
      <c r="AQ12" s="40" t="e">
        <f t="shared" si="9"/>
        <v>#N/A</v>
      </c>
      <c r="AR12" s="40" t="e">
        <f t="shared" si="9"/>
        <v>#N/A</v>
      </c>
    </row>
    <row r="13" spans="2:52" x14ac:dyDescent="0.2">
      <c r="B13" s="12" t="s">
        <v>12</v>
      </c>
      <c r="C13" s="28">
        <v>0</v>
      </c>
      <c r="D13" s="28">
        <v>0</v>
      </c>
      <c r="E13" s="28">
        <f>-E10</f>
        <v>1.5</v>
      </c>
      <c r="F13" s="14">
        <f t="shared" si="6"/>
        <v>0</v>
      </c>
      <c r="G13" s="19">
        <f t="shared" si="6"/>
        <v>0</v>
      </c>
      <c r="H13" s="19">
        <f>E13</f>
        <v>1.5</v>
      </c>
      <c r="I13" s="20">
        <f t="shared" si="7"/>
        <v>0</v>
      </c>
      <c r="J13" s="17">
        <f t="shared" si="8"/>
        <v>1.3594616805549748</v>
      </c>
      <c r="Y13" s="3"/>
      <c r="Z13" s="3"/>
      <c r="AA13" s="17" t="e">
        <f t="shared" si="0"/>
        <v>#N/A</v>
      </c>
      <c r="AB13" s="17" t="e">
        <f t="shared" si="0"/>
        <v>#N/A</v>
      </c>
      <c r="AC13" s="17" t="e">
        <f t="shared" si="1"/>
        <v>#N/A</v>
      </c>
      <c r="AD13" s="17" t="e">
        <f t="shared" si="1"/>
        <v>#N/A</v>
      </c>
      <c r="AE13" s="4"/>
      <c r="AF13" s="53" t="s">
        <v>56</v>
      </c>
      <c r="AG13" s="53"/>
      <c r="AH13" s="53"/>
      <c r="AI13" s="53"/>
      <c r="AO13" s="44" t="s">
        <v>36</v>
      </c>
      <c r="AP13" s="44"/>
      <c r="AQ13" s="44"/>
      <c r="AR13" s="44"/>
    </row>
    <row r="14" spans="2:52" x14ac:dyDescent="0.2">
      <c r="B14" s="12" t="s">
        <v>13</v>
      </c>
      <c r="C14" s="28">
        <f>SQRT(3)/6*C5</f>
        <v>0.8660254037844386</v>
      </c>
      <c r="D14" s="28">
        <v>0</v>
      </c>
      <c r="E14" s="28">
        <f>-C6/2</f>
        <v>-1.5</v>
      </c>
      <c r="F14" s="14">
        <f t="shared" si="6"/>
        <v>0.8660254037844386</v>
      </c>
      <c r="G14" s="19">
        <f t="shared" si="6"/>
        <v>0</v>
      </c>
      <c r="H14" s="19">
        <f>E14</f>
        <v>-1.5</v>
      </c>
      <c r="I14" s="20">
        <f t="shared" si="7"/>
        <v>-0.49673176489215398</v>
      </c>
      <c r="J14" s="17">
        <f t="shared" si="8"/>
        <v>-1.6592698139647573</v>
      </c>
      <c r="Y14" s="3"/>
      <c r="Z14" s="3"/>
      <c r="AA14" s="17" t="e">
        <f t="shared" si="0"/>
        <v>#N/A</v>
      </c>
      <c r="AB14" s="17" t="e">
        <f t="shared" si="0"/>
        <v>#N/A</v>
      </c>
      <c r="AC14" s="17" t="e">
        <f t="shared" si="1"/>
        <v>#N/A</v>
      </c>
      <c r="AD14" s="17" t="e">
        <f t="shared" si="1"/>
        <v>#N/A</v>
      </c>
      <c r="AE14" s="4"/>
      <c r="AF14" s="54"/>
      <c r="AG14" s="54"/>
      <c r="AH14" s="54"/>
      <c r="AI14" s="54"/>
      <c r="AO14" s="9" t="str">
        <f>CONCATENATE(AI2,AI3)</f>
        <v/>
      </c>
      <c r="AP14" s="40" t="e">
        <f>AK3-AK2</f>
        <v>#N/A</v>
      </c>
      <c r="AQ14" s="40" t="e">
        <f>AL3-AL2</f>
        <v>#N/A</v>
      </c>
      <c r="AR14" s="40" t="e">
        <f>AM3-AM2</f>
        <v>#N/A</v>
      </c>
    </row>
    <row r="15" spans="2:52" x14ac:dyDescent="0.2">
      <c r="B15" s="12" t="s">
        <v>15</v>
      </c>
      <c r="C15" s="28">
        <f>-SQRT(3)/12*C5</f>
        <v>-0.4330127018922193</v>
      </c>
      <c r="D15" s="28">
        <f>C5/4</f>
        <v>0.75</v>
      </c>
      <c r="E15" s="28">
        <f>-C6/2</f>
        <v>-1.5</v>
      </c>
      <c r="F15" s="14">
        <f t="shared" si="6"/>
        <v>-0.4330127018922193</v>
      </c>
      <c r="G15" s="19">
        <f t="shared" si="6"/>
        <v>0.75</v>
      </c>
      <c r="H15" s="19">
        <f t="shared" si="6"/>
        <v>-1.5</v>
      </c>
      <c r="I15" s="20">
        <f t="shared" si="7"/>
        <v>0.86272991566282076</v>
      </c>
      <c r="J15" s="17">
        <f t="shared" si="8"/>
        <v>-1.3913605212296616</v>
      </c>
      <c r="Y15" s="3"/>
      <c r="Z15" s="3"/>
      <c r="AA15" s="17" t="e">
        <f t="shared" si="0"/>
        <v>#N/A</v>
      </c>
      <c r="AB15" s="17" t="e">
        <f t="shared" si="0"/>
        <v>#N/A</v>
      </c>
      <c r="AC15" s="17" t="e">
        <f t="shared" si="1"/>
        <v>#N/A</v>
      </c>
      <c r="AD15" s="17" t="e">
        <f t="shared" si="1"/>
        <v>#N/A</v>
      </c>
      <c r="AE15" s="4"/>
      <c r="AF15" s="54"/>
      <c r="AG15" s="54"/>
      <c r="AH15" s="54"/>
      <c r="AI15" s="54"/>
      <c r="AO15" s="9" t="str">
        <f>CONCATENATE(AI2,AI4)</f>
        <v/>
      </c>
      <c r="AP15" s="40" t="e">
        <f>AK4-AK2</f>
        <v>#N/A</v>
      </c>
      <c r="AQ15" s="40" t="e">
        <f>AL4-AL2</f>
        <v>#N/A</v>
      </c>
      <c r="AR15" s="40" t="e">
        <f>AM4-AM2</f>
        <v>#N/A</v>
      </c>
    </row>
    <row r="16" spans="2:52" x14ac:dyDescent="0.2">
      <c r="B16" s="12" t="s">
        <v>16</v>
      </c>
      <c r="C16" s="28">
        <f>-SQRT(3)/12*C5</f>
        <v>-0.4330127018922193</v>
      </c>
      <c r="D16" s="28">
        <f>-C5/4</f>
        <v>-0.75</v>
      </c>
      <c r="E16" s="28">
        <f>-C6/2</f>
        <v>-1.5</v>
      </c>
      <c r="F16" s="14">
        <f t="shared" si="6"/>
        <v>-0.4330127018922193</v>
      </c>
      <c r="G16" s="19">
        <f t="shared" si="6"/>
        <v>-0.75</v>
      </c>
      <c r="H16" s="19">
        <f t="shared" si="6"/>
        <v>-1.5</v>
      </c>
      <c r="I16" s="20">
        <f t="shared" si="7"/>
        <v>-0.36599815077066683</v>
      </c>
      <c r="J16" s="17">
        <f t="shared" si="8"/>
        <v>-1.0277547064705057</v>
      </c>
      <c r="Y16" s="3"/>
      <c r="Z16" s="3"/>
      <c r="AA16" s="17" t="e">
        <f t="shared" si="0"/>
        <v>#N/A</v>
      </c>
      <c r="AB16" s="17" t="e">
        <f t="shared" si="0"/>
        <v>#N/A</v>
      </c>
      <c r="AC16" s="17" t="e">
        <f t="shared" si="1"/>
        <v>#N/A</v>
      </c>
      <c r="AD16" s="17" t="e">
        <f t="shared" si="1"/>
        <v>#N/A</v>
      </c>
      <c r="AE16" s="4"/>
      <c r="AF16"/>
      <c r="AG16"/>
      <c r="AH16"/>
      <c r="AI16"/>
      <c r="AO16" s="44" t="s">
        <v>37</v>
      </c>
      <c r="AP16" s="44"/>
      <c r="AQ16" s="44"/>
      <c r="AR16" s="44"/>
    </row>
    <row r="17" spans="2:44" x14ac:dyDescent="0.2">
      <c r="B17" s="12" t="s">
        <v>18</v>
      </c>
      <c r="C17" s="28">
        <v>0</v>
      </c>
      <c r="D17" s="28">
        <v>0</v>
      </c>
      <c r="E17" s="28">
        <f>-C6/2</f>
        <v>-1.5</v>
      </c>
      <c r="F17" s="14">
        <f t="shared" si="6"/>
        <v>0</v>
      </c>
      <c r="G17" s="19">
        <f t="shared" si="6"/>
        <v>0</v>
      </c>
      <c r="H17" s="19">
        <f t="shared" si="6"/>
        <v>-1.5</v>
      </c>
      <c r="I17" s="20">
        <f t="shared" si="7"/>
        <v>0</v>
      </c>
      <c r="J17" s="17">
        <f t="shared" si="8"/>
        <v>-1.3594616805549748</v>
      </c>
      <c r="Y17" s="3"/>
      <c r="Z17" s="3"/>
      <c r="AA17" s="17" t="e">
        <f t="shared" si="0"/>
        <v>#N/A</v>
      </c>
      <c r="AB17" s="17" t="e">
        <f t="shared" si="0"/>
        <v>#N/A</v>
      </c>
      <c r="AC17" s="17" t="e">
        <f t="shared" si="1"/>
        <v>#N/A</v>
      </c>
      <c r="AD17" s="17" t="e">
        <f t="shared" si="1"/>
        <v>#N/A</v>
      </c>
      <c r="AE17" s="4"/>
      <c r="AO17" s="9" t="str">
        <f>CONCATENATE(AO14,"x",AO15)</f>
        <v>x</v>
      </c>
      <c r="AP17" s="40" t="e">
        <f>AQ14*AR15-AQ15*AR14</f>
        <v>#N/A</v>
      </c>
      <c r="AQ17" s="40" t="e">
        <f>AR14*AP15-AP14*AR15</f>
        <v>#N/A</v>
      </c>
      <c r="AR17" s="40" t="e">
        <f>AP14*AQ15-AQ14*AP15</f>
        <v>#N/A</v>
      </c>
    </row>
    <row r="18" spans="2:44" x14ac:dyDescent="0.2">
      <c r="B18" s="29" t="s">
        <v>6</v>
      </c>
      <c r="C18" s="10"/>
      <c r="D18" s="10"/>
      <c r="E18" s="11"/>
      <c r="F18" s="21" t="e">
        <f>VLOOKUP(C18,$B$10:$H17,5)+(VLOOKUP(D18,$B$10:$H17,5)-VLOOKUP(C18,$B$10:$H17,5))*$E18</f>
        <v>#N/A</v>
      </c>
      <c r="G18" s="22" t="e">
        <f>VLOOKUP(C18,$B$10:$H17,6)+(VLOOKUP(D18,$B$10:$H17,6)-VLOOKUP(C18,$B$10:$H17,6))*$E18</f>
        <v>#N/A</v>
      </c>
      <c r="H18" s="22" t="e">
        <f>VLOOKUP(C18,$B$10:$H17,7)+(VLOOKUP(D18,$B$10:$H17,7)-VLOOKUP(C18,$B$10:$H17,7))*$E18</f>
        <v>#N/A</v>
      </c>
      <c r="I18" s="23" t="e">
        <f t="shared" ref="I18:I35" si="10">-F18*SIN($AR$1)+G18*COS($AR$1)</f>
        <v>#N/A</v>
      </c>
      <c r="J18" s="24" t="e">
        <f t="shared" ref="J18:J35" si="11">-F18*SIN($AR$2)*COS($AR$1)-G18*SIN($AR$2)*SIN($AR$1)+H18*COS($AR$2)</f>
        <v>#N/A</v>
      </c>
      <c r="Y18" s="3"/>
      <c r="Z18" s="3"/>
      <c r="AA18" s="17" t="e">
        <f t="shared" si="0"/>
        <v>#N/A</v>
      </c>
      <c r="AB18" s="17" t="e">
        <f t="shared" si="0"/>
        <v>#N/A</v>
      </c>
      <c r="AC18" s="17" t="e">
        <f t="shared" si="1"/>
        <v>#N/A</v>
      </c>
      <c r="AD18" s="17" t="e">
        <f t="shared" si="1"/>
        <v>#N/A</v>
      </c>
      <c r="AE18" s="4"/>
    </row>
    <row r="19" spans="2:44" x14ac:dyDescent="0.2">
      <c r="B19" s="29" t="s">
        <v>8</v>
      </c>
      <c r="C19" s="10"/>
      <c r="D19" s="10"/>
      <c r="E19" s="11"/>
      <c r="F19" s="21" t="e">
        <f>VLOOKUP(C19,$B$10:$H18,5)+(VLOOKUP(D19,$B$10:$H18,5)-VLOOKUP(C19,$B$10:$H18,5))*$E19</f>
        <v>#N/A</v>
      </c>
      <c r="G19" s="22" t="e">
        <f>VLOOKUP(C19,$B$10:$H18,6)+(VLOOKUP(D19,$B$10:$H18,6)-VLOOKUP(C19,$B$10:$H18,6))*$E19</f>
        <v>#N/A</v>
      </c>
      <c r="H19" s="22" t="e">
        <f>VLOOKUP(C19,$B$10:$H18,7)+(VLOOKUP(D19,$B$10:$H18,7)-VLOOKUP(C19,$B$10:$H18,7))*$E19</f>
        <v>#N/A</v>
      </c>
      <c r="I19" s="23" t="e">
        <f t="shared" si="10"/>
        <v>#N/A</v>
      </c>
      <c r="J19" s="24" t="e">
        <f t="shared" si="11"/>
        <v>#N/A</v>
      </c>
      <c r="Y19" s="3"/>
      <c r="Z19" s="3"/>
      <c r="AA19" s="17" t="e">
        <f t="shared" si="0"/>
        <v>#N/A</v>
      </c>
      <c r="AB19" s="17" t="e">
        <f t="shared" si="0"/>
        <v>#N/A</v>
      </c>
      <c r="AC19" s="17" t="e">
        <f t="shared" si="1"/>
        <v>#N/A</v>
      </c>
      <c r="AD19" s="17" t="e">
        <f t="shared" si="1"/>
        <v>#N/A</v>
      </c>
      <c r="AE19" s="4"/>
    </row>
    <row r="20" spans="2:44" x14ac:dyDescent="0.2">
      <c r="B20" s="29" t="s">
        <v>14</v>
      </c>
      <c r="C20" s="10"/>
      <c r="D20" s="10"/>
      <c r="E20" s="11"/>
      <c r="F20" s="21" t="e">
        <f>VLOOKUP(C20,$B$10:$H19,5)+(VLOOKUP(D20,$B$10:$H19,5)-VLOOKUP(C20,$B$10:$H19,5))*$E20</f>
        <v>#N/A</v>
      </c>
      <c r="G20" s="22" t="e">
        <f>VLOOKUP(C20,$B$10:$H19,6)+(VLOOKUP(D20,$B$10:$H19,6)-VLOOKUP(C20,$B$10:$H19,6))*$E20</f>
        <v>#N/A</v>
      </c>
      <c r="H20" s="22" t="e">
        <f>VLOOKUP(C20,$B$10:$H19,7)+(VLOOKUP(D20,$B$10:$H19,7)-VLOOKUP(C20,$B$10:$H19,7))*$E20</f>
        <v>#N/A</v>
      </c>
      <c r="I20" s="23" t="e">
        <f t="shared" si="10"/>
        <v>#N/A</v>
      </c>
      <c r="J20" s="24" t="e">
        <f t="shared" si="11"/>
        <v>#N/A</v>
      </c>
      <c r="Y20" s="3"/>
      <c r="Z20" s="3"/>
      <c r="AA20" s="17" t="e">
        <f t="shared" si="0"/>
        <v>#N/A</v>
      </c>
      <c r="AB20" s="17" t="e">
        <f t="shared" si="0"/>
        <v>#N/A</v>
      </c>
      <c r="AC20" s="17" t="e">
        <f t="shared" si="1"/>
        <v>#N/A</v>
      </c>
      <c r="AD20" s="17" t="e">
        <f t="shared" si="1"/>
        <v>#N/A</v>
      </c>
      <c r="AE20" s="4"/>
    </row>
    <row r="21" spans="2:44" x14ac:dyDescent="0.2">
      <c r="B21" s="29" t="s">
        <v>11</v>
      </c>
      <c r="C21" s="10"/>
      <c r="D21" s="10"/>
      <c r="E21" s="11"/>
      <c r="F21" s="21" t="e">
        <f>VLOOKUP(C21,$B$10:$H20,5)+(VLOOKUP(D21,$B$10:$H20,5)-VLOOKUP(C21,$B$10:$H20,5))*$E21</f>
        <v>#N/A</v>
      </c>
      <c r="G21" s="22" t="e">
        <f>VLOOKUP(C21,$B$10:$H20,6)+(VLOOKUP(D21,$B$10:$H20,6)-VLOOKUP(C21,$B$10:$H20,6))*$E21</f>
        <v>#N/A</v>
      </c>
      <c r="H21" s="22" t="e">
        <f>VLOOKUP(C21,$B$10:$H20,7)+(VLOOKUP(D21,$B$10:$H20,7)-VLOOKUP(C21,$B$10:$H20,7))*$E21</f>
        <v>#N/A</v>
      </c>
      <c r="I21" s="23" t="e">
        <f t="shared" si="10"/>
        <v>#N/A</v>
      </c>
      <c r="J21" s="24" t="e">
        <f t="shared" si="11"/>
        <v>#N/A</v>
      </c>
      <c r="Y21" s="3"/>
      <c r="Z21" s="3"/>
      <c r="AA21" s="17" t="e">
        <f t="shared" si="0"/>
        <v>#N/A</v>
      </c>
      <c r="AB21" s="17" t="e">
        <f t="shared" si="0"/>
        <v>#N/A</v>
      </c>
      <c r="AC21" s="17" t="e">
        <f t="shared" si="1"/>
        <v>#N/A</v>
      </c>
      <c r="AD21" s="17" t="e">
        <f t="shared" si="1"/>
        <v>#N/A</v>
      </c>
      <c r="AE21" s="4"/>
    </row>
    <row r="22" spans="2:44" x14ac:dyDescent="0.2">
      <c r="B22" s="29" t="s">
        <v>17</v>
      </c>
      <c r="C22" s="10"/>
      <c r="D22" s="10"/>
      <c r="E22" s="11"/>
      <c r="F22" s="22" t="e">
        <f>VLOOKUP(C22,$B$10:$H21,5)+(VLOOKUP(D22,$B$10:$H21,5)-VLOOKUP(C22,$B$10:$H21,5))*$E22</f>
        <v>#N/A</v>
      </c>
      <c r="G22" s="22" t="e">
        <f>VLOOKUP(C22,$B$10:$H21,6)+(VLOOKUP(D22,$B$10:$H21,6)-VLOOKUP(C22,$B$10:$H21,6))*$E22</f>
        <v>#N/A</v>
      </c>
      <c r="H22" s="22" t="e">
        <f>VLOOKUP(C22,$B$10:$H21,7)+(VLOOKUP(D22,$B$10:$H21,7)-VLOOKUP(C22,$B$10:$H21,7))*$E22</f>
        <v>#N/A</v>
      </c>
      <c r="I22" s="23" t="e">
        <f t="shared" si="10"/>
        <v>#N/A</v>
      </c>
      <c r="J22" s="24" t="e">
        <f t="shared" si="11"/>
        <v>#N/A</v>
      </c>
      <c r="Y22" s="3"/>
      <c r="Z22" s="3"/>
      <c r="AA22" s="17" t="e">
        <f t="shared" si="0"/>
        <v>#N/A</v>
      </c>
      <c r="AB22" s="17" t="e">
        <f t="shared" si="0"/>
        <v>#N/A</v>
      </c>
      <c r="AC22" s="17" t="e">
        <f t="shared" si="1"/>
        <v>#N/A</v>
      </c>
      <c r="AD22" s="17" t="e">
        <f t="shared" si="1"/>
        <v>#N/A</v>
      </c>
      <c r="AE22" s="4"/>
    </row>
    <row r="23" spans="2:44" x14ac:dyDescent="0.2">
      <c r="B23" s="29" t="s">
        <v>19</v>
      </c>
      <c r="C23" s="10"/>
      <c r="D23" s="10"/>
      <c r="E23" s="11"/>
      <c r="F23" s="22" t="e">
        <f>VLOOKUP(C23,$B$10:$H22,5)+(VLOOKUP(D23,$B$10:$H22,5)-VLOOKUP(C23,$B$10:$H22,5))*$E23</f>
        <v>#N/A</v>
      </c>
      <c r="G23" s="22" t="e">
        <f>VLOOKUP(C23,$B$10:$H22,6)+(VLOOKUP(D23,$B$10:$H22,6)-VLOOKUP(C23,$B$10:$H22,6))*$E23</f>
        <v>#N/A</v>
      </c>
      <c r="H23" s="22" t="e">
        <f>VLOOKUP(C23,$B$10:$H22,7)+(VLOOKUP(D23,$B$10:$H22,7)-VLOOKUP(C23,$B$10:$H22,7))*$E23</f>
        <v>#N/A</v>
      </c>
      <c r="I23" s="23" t="e">
        <f t="shared" si="10"/>
        <v>#N/A</v>
      </c>
      <c r="J23" s="24" t="e">
        <f t="shared" si="11"/>
        <v>#N/A</v>
      </c>
      <c r="Y23" s="3"/>
      <c r="Z23" s="3"/>
      <c r="AA23" s="17" t="e">
        <f t="shared" si="0"/>
        <v>#N/A</v>
      </c>
      <c r="AB23" s="17" t="e">
        <f t="shared" si="0"/>
        <v>#N/A</v>
      </c>
      <c r="AC23" s="17" t="e">
        <f t="shared" si="1"/>
        <v>#N/A</v>
      </c>
      <c r="AD23" s="17" t="e">
        <f t="shared" si="1"/>
        <v>#N/A</v>
      </c>
      <c r="AE23" s="4"/>
    </row>
    <row r="24" spans="2:44" x14ac:dyDescent="0.2">
      <c r="B24" s="29" t="s">
        <v>20</v>
      </c>
      <c r="C24" s="10"/>
      <c r="D24" s="10"/>
      <c r="E24" s="11"/>
      <c r="F24" s="22" t="e">
        <f>VLOOKUP(C24,$B$10:$H23,5)+(VLOOKUP(D24,$B$10:$H23,5)-VLOOKUP(C24,$B$10:$H23,5))*$E24</f>
        <v>#N/A</v>
      </c>
      <c r="G24" s="22" t="e">
        <f>VLOOKUP(C24,$B$10:$H23,6)+(VLOOKUP(D24,$B$10:$H23,6)-VLOOKUP(C24,$B$10:$H23,6))*$E24</f>
        <v>#N/A</v>
      </c>
      <c r="H24" s="22" t="e">
        <f>VLOOKUP(C24,$B$10:$H23,7)+(VLOOKUP(D24,$B$10:$H23,7)-VLOOKUP(C24,$B$10:$H23,7))*$E24</f>
        <v>#N/A</v>
      </c>
      <c r="I24" s="23" t="e">
        <f t="shared" si="10"/>
        <v>#N/A</v>
      </c>
      <c r="J24" s="24" t="e">
        <f t="shared" si="11"/>
        <v>#N/A</v>
      </c>
      <c r="Y24" s="3"/>
      <c r="Z24" s="3"/>
      <c r="AA24" s="17" t="e">
        <f t="shared" si="0"/>
        <v>#N/A</v>
      </c>
      <c r="AB24" s="17" t="e">
        <f t="shared" si="0"/>
        <v>#N/A</v>
      </c>
      <c r="AC24" s="17" t="e">
        <f t="shared" si="1"/>
        <v>#N/A</v>
      </c>
      <c r="AD24" s="17" t="e">
        <f t="shared" si="1"/>
        <v>#N/A</v>
      </c>
      <c r="AE24" s="4"/>
    </row>
    <row r="25" spans="2:44" x14ac:dyDescent="0.2">
      <c r="B25" s="29" t="s">
        <v>21</v>
      </c>
      <c r="C25" s="10"/>
      <c r="D25" s="10"/>
      <c r="E25" s="11"/>
      <c r="F25" s="22" t="e">
        <f>VLOOKUP(C25,$B$10:$H24,5)+(VLOOKUP(D25,$B$10:$H24,5)-VLOOKUP(C25,$B$10:$H24,5))*$E25</f>
        <v>#N/A</v>
      </c>
      <c r="G25" s="22" t="e">
        <f>VLOOKUP(C25,$B$10:$H24,6)+(VLOOKUP(D25,$B$10:$H24,6)-VLOOKUP(C25,$B$10:$H24,6))*$E25</f>
        <v>#N/A</v>
      </c>
      <c r="H25" s="22" t="e">
        <f>VLOOKUP(C25,$B$10:$H24,7)+(VLOOKUP(D25,$B$10:$H24,7)-VLOOKUP(C25,$B$10:$H24,7))*$E25</f>
        <v>#N/A</v>
      </c>
      <c r="I25" s="23" t="e">
        <f t="shared" si="10"/>
        <v>#N/A</v>
      </c>
      <c r="J25" s="24" t="e">
        <f t="shared" si="11"/>
        <v>#N/A</v>
      </c>
      <c r="Y25" s="3"/>
      <c r="Z25" s="3"/>
      <c r="AA25" s="17" t="e">
        <f t="shared" si="0"/>
        <v>#N/A</v>
      </c>
      <c r="AB25" s="17" t="e">
        <f t="shared" si="0"/>
        <v>#N/A</v>
      </c>
      <c r="AC25" s="17" t="e">
        <f t="shared" si="1"/>
        <v>#N/A</v>
      </c>
      <c r="AD25" s="17" t="e">
        <f t="shared" si="1"/>
        <v>#N/A</v>
      </c>
      <c r="AE25" s="4"/>
    </row>
    <row r="26" spans="2:44" x14ac:dyDescent="0.2">
      <c r="B26" s="29" t="s">
        <v>22</v>
      </c>
      <c r="C26" s="10"/>
      <c r="D26" s="10"/>
      <c r="E26" s="11"/>
      <c r="F26" s="22" t="e">
        <f>VLOOKUP(C26,$B$10:$H25,5)+(VLOOKUP(D26,$B$10:$H25,5)-VLOOKUP(C26,$B$10:$H25,5))*$E26</f>
        <v>#N/A</v>
      </c>
      <c r="G26" s="22" t="e">
        <f>VLOOKUP(C26,$B$10:$H25,6)+(VLOOKUP(D26,$B$10:$H25,6)-VLOOKUP(C26,$B$10:$H25,6))*$E26</f>
        <v>#N/A</v>
      </c>
      <c r="H26" s="22" t="e">
        <f>VLOOKUP(C26,$B$10:$H25,7)+(VLOOKUP(D26,$B$10:$H25,7)-VLOOKUP(C26,$B$10:$H25,7))*$E26</f>
        <v>#N/A</v>
      </c>
      <c r="I26" s="23" t="e">
        <f t="shared" si="10"/>
        <v>#N/A</v>
      </c>
      <c r="J26" s="24" t="e">
        <f t="shared" si="11"/>
        <v>#N/A</v>
      </c>
      <c r="Y26" s="3"/>
      <c r="Z26" s="3"/>
      <c r="AA26" s="17" t="e">
        <f t="shared" si="0"/>
        <v>#N/A</v>
      </c>
      <c r="AB26" s="17" t="e">
        <f t="shared" si="0"/>
        <v>#N/A</v>
      </c>
      <c r="AC26" s="17" t="e">
        <f t="shared" si="1"/>
        <v>#N/A</v>
      </c>
      <c r="AD26" s="17" t="e">
        <f t="shared" si="1"/>
        <v>#N/A</v>
      </c>
      <c r="AE26" s="4"/>
    </row>
    <row r="27" spans="2:44" x14ac:dyDescent="0.2">
      <c r="B27" s="29" t="s">
        <v>23</v>
      </c>
      <c r="C27" s="10"/>
      <c r="D27" s="10"/>
      <c r="E27" s="11"/>
      <c r="F27" s="22" t="e">
        <f>VLOOKUP(C27,$B$10:$H26,5)+(VLOOKUP(D27,$B$10:$H26,5)-VLOOKUP(C27,$B$10:$H26,5))*$E27</f>
        <v>#N/A</v>
      </c>
      <c r="G27" s="22" t="e">
        <f>VLOOKUP(C27,$B$10:$H26,6)+(VLOOKUP(D27,$B$10:$H26,6)-VLOOKUP(C27,$B$10:$H26,6))*$E27</f>
        <v>#N/A</v>
      </c>
      <c r="H27" s="22" t="e">
        <f>VLOOKUP(C27,$B$10:$H26,7)+(VLOOKUP(D27,$B$10:$H26,7)-VLOOKUP(C27,$B$10:$H26,7))*$E27</f>
        <v>#N/A</v>
      </c>
      <c r="I27" s="23" t="e">
        <f t="shared" si="10"/>
        <v>#N/A</v>
      </c>
      <c r="J27" s="24" t="e">
        <f t="shared" si="11"/>
        <v>#N/A</v>
      </c>
      <c r="Y27" s="3"/>
      <c r="Z27" s="3"/>
      <c r="AA27" s="17" t="e">
        <f t="shared" si="0"/>
        <v>#N/A</v>
      </c>
      <c r="AB27" s="17" t="e">
        <f t="shared" si="0"/>
        <v>#N/A</v>
      </c>
      <c r="AC27" s="17" t="e">
        <f t="shared" si="1"/>
        <v>#N/A</v>
      </c>
      <c r="AD27" s="17" t="e">
        <f t="shared" si="1"/>
        <v>#N/A</v>
      </c>
      <c r="AE27" s="4"/>
    </row>
    <row r="28" spans="2:44" x14ac:dyDescent="0.2">
      <c r="B28" s="29" t="s">
        <v>24</v>
      </c>
      <c r="C28" s="10"/>
      <c r="D28" s="10"/>
      <c r="E28" s="11"/>
      <c r="F28" s="22" t="e">
        <f>VLOOKUP(C28,$B$10:$H27,5)+(VLOOKUP(D28,$B$10:$H27,5)-VLOOKUP(C28,$B$10:$H27,5))*$E28</f>
        <v>#N/A</v>
      </c>
      <c r="G28" s="22" t="e">
        <f>VLOOKUP(C28,$B$10:$H27,6)+(VLOOKUP(D28,$B$10:$H27,6)-VLOOKUP(C28,$B$10:$H27,6))*$E28</f>
        <v>#N/A</v>
      </c>
      <c r="H28" s="22" t="e">
        <f>VLOOKUP(C28,$B$10:$H27,7)+(VLOOKUP(D28,$B$10:$H27,7)-VLOOKUP(C28,$B$10:$H27,7))*$E28</f>
        <v>#N/A</v>
      </c>
      <c r="I28" s="23" t="e">
        <f t="shared" si="10"/>
        <v>#N/A</v>
      </c>
      <c r="J28" s="24" t="e">
        <f t="shared" si="11"/>
        <v>#N/A</v>
      </c>
      <c r="Y28" s="45" t="s">
        <v>39</v>
      </c>
      <c r="Z28" s="45"/>
    </row>
    <row r="29" spans="2:44" x14ac:dyDescent="0.2">
      <c r="B29" s="29" t="s">
        <v>25</v>
      </c>
      <c r="C29" s="10"/>
      <c r="D29" s="10"/>
      <c r="E29" s="11"/>
      <c r="F29" s="22" t="e">
        <f>VLOOKUP(C29,$B$10:$H28,5)+(VLOOKUP(D29,$B$10:$H28,5)-VLOOKUP(C29,$B$10:$H28,5))*$E29</f>
        <v>#N/A</v>
      </c>
      <c r="G29" s="22" t="e">
        <f>VLOOKUP(C29,$B$10:$H28,6)+(VLOOKUP(D29,$B$10:$H28,6)-VLOOKUP(C29,$B$10:$H28,6))*$E29</f>
        <v>#N/A</v>
      </c>
      <c r="H29" s="22" t="e">
        <f>VLOOKUP(C29,$B$10:$H28,7)+(VLOOKUP(D29,$B$10:$H28,7)-VLOOKUP(C29,$B$10:$H28,7))*$E29</f>
        <v>#N/A</v>
      </c>
      <c r="I29" s="23" t="e">
        <f t="shared" si="10"/>
        <v>#N/A</v>
      </c>
      <c r="J29" s="24" t="e">
        <f t="shared" si="11"/>
        <v>#N/A</v>
      </c>
    </row>
    <row r="30" spans="2:44" x14ac:dyDescent="0.2">
      <c r="B30" s="29" t="s">
        <v>26</v>
      </c>
      <c r="C30" s="10"/>
      <c r="D30" s="10"/>
      <c r="E30" s="11"/>
      <c r="F30" s="22" t="e">
        <f>VLOOKUP(C30,$B$10:$H29,5)+(VLOOKUP(D30,$B$10:$H29,5)-VLOOKUP(C30,$B$10:$H29,5))*$E30</f>
        <v>#N/A</v>
      </c>
      <c r="G30" s="22" t="e">
        <f>VLOOKUP(C30,$B$10:$H29,6)+(VLOOKUP(D30,$B$10:$H29,6)-VLOOKUP(C30,$B$10:$H29,6))*$E30</f>
        <v>#N/A</v>
      </c>
      <c r="H30" s="22" t="e">
        <f>VLOOKUP(C30,$B$10:$H29,7)+(VLOOKUP(D30,$B$10:$H29,7)-VLOOKUP(C30,$B$10:$H29,7))*$E30</f>
        <v>#N/A</v>
      </c>
      <c r="I30" s="23" t="e">
        <f t="shared" si="10"/>
        <v>#N/A</v>
      </c>
      <c r="J30" s="24" t="e">
        <f t="shared" si="11"/>
        <v>#N/A</v>
      </c>
      <c r="Y30" s="33">
        <v>-2.5</v>
      </c>
      <c r="Z30" s="33">
        <v>2.5</v>
      </c>
    </row>
    <row r="31" spans="2:44" x14ac:dyDescent="0.2">
      <c r="B31" s="29" t="s">
        <v>27</v>
      </c>
      <c r="C31" s="10"/>
      <c r="D31" s="10"/>
      <c r="E31" s="11"/>
      <c r="F31" s="22" t="e">
        <f>VLOOKUP(C31,$B$10:$H30,5)+(VLOOKUP(D31,$B$10:$H30,5)-VLOOKUP(C31,$B$10:$H30,5))*$E31</f>
        <v>#N/A</v>
      </c>
      <c r="G31" s="22" t="e">
        <f>VLOOKUP(C31,$B$10:$H30,6)+(VLOOKUP(D31,$B$10:$H30,6)-VLOOKUP(C31,$B$10:$H30,6))*$E31</f>
        <v>#N/A</v>
      </c>
      <c r="H31" s="22" t="e">
        <f>VLOOKUP(C31,$B$10:$H30,7)+(VLOOKUP(D31,$B$10:$H30,7)-VLOOKUP(C31,$B$10:$H30,7))*$E31</f>
        <v>#N/A</v>
      </c>
      <c r="I31" s="23" t="e">
        <f t="shared" si="10"/>
        <v>#N/A</v>
      </c>
      <c r="J31" s="24" t="e">
        <f t="shared" si="11"/>
        <v>#N/A</v>
      </c>
    </row>
    <row r="32" spans="2:44" x14ac:dyDescent="0.2">
      <c r="B32" s="29" t="s">
        <v>41</v>
      </c>
      <c r="C32" s="10"/>
      <c r="D32" s="10"/>
      <c r="E32" s="11"/>
      <c r="F32" s="22" t="e">
        <f>VLOOKUP(C32,$B$10:$H31,5)+(VLOOKUP(D32,$B$10:$H31,5)-VLOOKUP(C32,$B$10:$H31,5))*$E32</f>
        <v>#N/A</v>
      </c>
      <c r="G32" s="22" t="e">
        <f>VLOOKUP(C32,$B$10:$H31,6)+(VLOOKUP(D32,$B$10:$H31,6)-VLOOKUP(C32,$B$10:$H31,6))*$E32</f>
        <v>#N/A</v>
      </c>
      <c r="H32" s="22" t="e">
        <f>VLOOKUP(C32,$B$10:$H31,7)+(VLOOKUP(D32,$B$10:$H31,7)-VLOOKUP(C32,$B$10:$H31,7))*$E32</f>
        <v>#N/A</v>
      </c>
      <c r="I32" s="23" t="e">
        <f t="shared" si="10"/>
        <v>#N/A</v>
      </c>
      <c r="J32" s="24" t="e">
        <f t="shared" si="11"/>
        <v>#N/A</v>
      </c>
      <c r="P32" s="13"/>
    </row>
    <row r="33" spans="2:17" x14ac:dyDescent="0.2">
      <c r="B33" s="29" t="s">
        <v>28</v>
      </c>
      <c r="C33" s="10"/>
      <c r="D33" s="10"/>
      <c r="E33" s="11"/>
      <c r="F33" s="22" t="e">
        <f>VLOOKUP(C33,$B$10:$H32,5)+(VLOOKUP(D33,$B$10:$H32,5)-VLOOKUP(C33,$B$10:$H32,5))*$E33</f>
        <v>#N/A</v>
      </c>
      <c r="G33" s="22" t="e">
        <f>VLOOKUP(C33,$B$10:$H32,6)+(VLOOKUP(D33,$B$10:$H32,6)-VLOOKUP(C33,$B$10:$H32,6))*$E33</f>
        <v>#N/A</v>
      </c>
      <c r="H33" s="22" t="e">
        <f>VLOOKUP(C33,$B$10:$H32,7)+(VLOOKUP(D33,$B$10:$H32,7)-VLOOKUP(C33,$B$10:$H32,7))*$E33</f>
        <v>#N/A</v>
      </c>
      <c r="I33" s="23" t="e">
        <f t="shared" si="10"/>
        <v>#N/A</v>
      </c>
      <c r="J33" s="24" t="e">
        <f t="shared" si="11"/>
        <v>#N/A</v>
      </c>
      <c r="M33" s="8"/>
      <c r="N33" s="7"/>
    </row>
    <row r="34" spans="2:17" x14ac:dyDescent="0.2">
      <c r="B34" s="29" t="s">
        <v>29</v>
      </c>
      <c r="C34" s="10"/>
      <c r="D34" s="10"/>
      <c r="E34" s="11"/>
      <c r="F34" s="22" t="e">
        <f>VLOOKUP(C34,$B$10:$H33,5)+(VLOOKUP(D34,$B$10:$H33,5)-VLOOKUP(C34,$B$10:$H33,5))*$E34</f>
        <v>#N/A</v>
      </c>
      <c r="G34" s="22" t="e">
        <f>VLOOKUP(C34,$B$10:$H33,6)+(VLOOKUP(D34,$B$10:$H33,6)-VLOOKUP(C34,$B$10:$H33,6))*$E34</f>
        <v>#N/A</v>
      </c>
      <c r="H34" s="22" t="e">
        <f>VLOOKUP(C34,$B$10:$H33,7)+(VLOOKUP(D34,$B$10:$H33,7)-VLOOKUP(C34,$B$10:$H33,7))*$E34</f>
        <v>#N/A</v>
      </c>
      <c r="I34" s="23" t="e">
        <f t="shared" si="10"/>
        <v>#N/A</v>
      </c>
      <c r="J34" s="24" t="e">
        <f t="shared" si="11"/>
        <v>#N/A</v>
      </c>
    </row>
    <row r="35" spans="2:17" x14ac:dyDescent="0.2">
      <c r="B35" s="29" t="s">
        <v>30</v>
      </c>
      <c r="C35" s="10"/>
      <c r="D35" s="10"/>
      <c r="E35" s="11"/>
      <c r="F35" s="22" t="e">
        <f>VLOOKUP(C35,$B$10:$H31,5)+(VLOOKUP(D35,$B$10:$H31,5)-VLOOKUP(C35,$B$10:$H31,5))*$E35</f>
        <v>#N/A</v>
      </c>
      <c r="G35" s="22" t="e">
        <f>VLOOKUP(C35,$B$10:$H31,6)+(VLOOKUP(D35,$B$10:$H31,6)-VLOOKUP(C35,$B$10:$H31,6))*$E35</f>
        <v>#N/A</v>
      </c>
      <c r="H35" s="22" t="e">
        <f>VLOOKUP(C35,$B$10:$H31,7)+(VLOOKUP(D35,$B$10:$H31,7)-VLOOKUP(C35,$B$10:$H31,7))*$E35</f>
        <v>#N/A</v>
      </c>
      <c r="I35" s="23" t="e">
        <f t="shared" si="10"/>
        <v>#N/A</v>
      </c>
      <c r="J35" s="24" t="e">
        <f t="shared" si="11"/>
        <v>#N/A</v>
      </c>
    </row>
    <row r="36" spans="2:17" x14ac:dyDescent="0.2">
      <c r="B36" s="32" t="s">
        <v>33</v>
      </c>
      <c r="C36" s="46" t="s">
        <v>31</v>
      </c>
      <c r="D36" s="47"/>
      <c r="E36" s="32" t="s">
        <v>32</v>
      </c>
      <c r="F36" s="9" t="s">
        <v>3</v>
      </c>
      <c r="G36" s="9" t="s">
        <v>4</v>
      </c>
      <c r="H36" s="9" t="s">
        <v>5</v>
      </c>
      <c r="I36" s="41" t="s">
        <v>45</v>
      </c>
      <c r="J36" s="9" t="s">
        <v>46</v>
      </c>
      <c r="L36" s="13" t="s">
        <v>52</v>
      </c>
    </row>
    <row r="37" spans="2:17" x14ac:dyDescent="0.2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2:17" x14ac:dyDescent="0.2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2:17" x14ac:dyDescent="0.2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2:17" x14ac:dyDescent="0.2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2:17" x14ac:dyDescent="0.2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2:17" x14ac:dyDescent="0.2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2:17" x14ac:dyDescent="0.2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2:17" x14ac:dyDescent="0.2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2:17" x14ac:dyDescent="0.2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2:17" x14ac:dyDescent="0.2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2:17" x14ac:dyDescent="0.2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2:17" x14ac:dyDescent="0.2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2:17" x14ac:dyDescent="0.2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2:17" x14ac:dyDescent="0.2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2:17" x14ac:dyDescent="0.2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2:17" x14ac:dyDescent="0.2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2:17" x14ac:dyDescent="0.2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2:17" x14ac:dyDescent="0.2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2:17" x14ac:dyDescent="0.2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</sheetData>
  <sheetProtection formatCells="0" formatColumns="0" formatRows="0" selectLockedCells="1"/>
  <mergeCells count="11">
    <mergeCell ref="Y1:Z1"/>
    <mergeCell ref="AF1:AI1"/>
    <mergeCell ref="AF2:AH4"/>
    <mergeCell ref="AF5:AI5"/>
    <mergeCell ref="AF13:AI15"/>
    <mergeCell ref="AO13:AR13"/>
    <mergeCell ref="AO16:AR16"/>
    <mergeCell ref="Y28:Z28"/>
    <mergeCell ref="C36:D36"/>
    <mergeCell ref="AK5:AM5"/>
    <mergeCell ref="AG6:AH6"/>
  </mergeCells>
  <conditionalFormatting sqref="AF7:AF12">
    <cfRule type="cellIs" dxfId="2" priority="1" stopIfTrue="1" operator="between">
      <formula>"I"</formula>
      <formula>"K"</formula>
    </cfRule>
    <cfRule type="cellIs" dxfId="1" priority="2" stopIfTrue="1" operator="between">
      <formula>"L"</formula>
      <formula>"N"</formula>
    </cfRule>
  </conditionalFormatting>
  <conditionalFormatting sqref="AI7:AI12">
    <cfRule type="cellIs" dxfId="0" priority="3" stopIfTrue="1" operator="notBetween">
      <formula>0</formula>
      <formula>1</formula>
    </cfRule>
  </conditionalFormatting>
  <pageMargins left="0.75" right="0.75" top="1" bottom="1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8849" r:id="rId4" name="ScrollBar1">
          <controlPr defaultSize="0" autoLine="0" linkedCell="AP1" r:id="rId5">
            <anchor moveWithCells="1">
              <from>
                <xdr:col>3</xdr:col>
                <xdr:colOff>19050</xdr:colOff>
                <xdr:row>1</xdr:row>
                <xdr:rowOff>0</xdr:rowOff>
              </from>
              <to>
                <xdr:col>10</xdr:col>
                <xdr:colOff>295275</xdr:colOff>
                <xdr:row>2</xdr:row>
                <xdr:rowOff>9525</xdr:rowOff>
              </to>
            </anchor>
          </controlPr>
        </control>
      </mc:Choice>
      <mc:Fallback>
        <control shapeId="78849" r:id="rId4" name="ScrollBar1"/>
      </mc:Fallback>
    </mc:AlternateContent>
    <mc:AlternateContent xmlns:mc="http://schemas.openxmlformats.org/markup-compatibility/2006">
      <mc:Choice Requires="x14">
        <control shapeId="78850" r:id="rId6" name="ScrollBar2">
          <controlPr defaultSize="0" autoLine="0" linkedCell="AP2" r:id="rId7">
            <anchor moveWithCells="1">
              <from>
                <xdr:col>3</xdr:col>
                <xdr:colOff>19050</xdr:colOff>
                <xdr:row>2</xdr:row>
                <xdr:rowOff>0</xdr:rowOff>
              </from>
              <to>
                <xdr:col>10</xdr:col>
                <xdr:colOff>295275</xdr:colOff>
                <xdr:row>3</xdr:row>
                <xdr:rowOff>9525</xdr:rowOff>
              </to>
            </anchor>
          </controlPr>
        </control>
      </mc:Choice>
      <mc:Fallback>
        <control shapeId="78850" r:id="rId6" name="ScrollBar2"/>
      </mc:Fallback>
    </mc:AlternateContent>
    <mc:AlternateContent xmlns:mc="http://schemas.openxmlformats.org/markup-compatibility/2006">
      <mc:Choice Requires="x14">
        <control shapeId="78851" r:id="rId8" name="SpinButton1">
          <controlPr defaultSize="0" autoLine="0" r:id="rId9">
            <anchor moveWithCells="1" sizeWithCells="1">
              <from>
                <xdr:col>24</xdr:col>
                <xdr:colOff>0</xdr:colOff>
                <xdr:row>27</xdr:row>
                <xdr:rowOff>152400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78851" r:id="rId8" name="SpinButton1"/>
      </mc:Fallback>
    </mc:AlternateContent>
    <mc:AlternateContent xmlns:mc="http://schemas.openxmlformats.org/markup-compatibility/2006">
      <mc:Choice Requires="x14">
        <control shapeId="78852" r:id="rId10" name="CheckBox1">
          <controlPr autoLine="0" r:id="rId11">
            <anchor moveWithCells="1">
              <from>
                <xdr:col>3</xdr:col>
                <xdr:colOff>114300</xdr:colOff>
                <xdr:row>4</xdr:row>
                <xdr:rowOff>133350</xdr:rowOff>
              </from>
              <to>
                <xdr:col>10</xdr:col>
                <xdr:colOff>66675</xdr:colOff>
                <xdr:row>6</xdr:row>
                <xdr:rowOff>57150</xdr:rowOff>
              </to>
            </anchor>
          </controlPr>
        </control>
      </mc:Choice>
      <mc:Fallback>
        <control shapeId="78852" r:id="rId10" name="Check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Pracovné hárky</vt:lpstr>
      </vt:variant>
      <vt:variant>
        <vt:i4>1</vt:i4>
      </vt:variant>
    </vt:vector>
  </HeadingPairs>
  <TitlesOfParts>
    <vt:vector size="1" baseType="lpstr">
      <vt:lpstr>3pyramid (0)</vt:lpstr>
    </vt:vector>
  </TitlesOfParts>
  <Company>KI FPV UKF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Ján Beňačka</dc:creator>
  <cp:lastModifiedBy>XX</cp:lastModifiedBy>
  <dcterms:created xsi:type="dcterms:W3CDTF">2008-12-18T08:33:21Z</dcterms:created>
  <dcterms:modified xsi:type="dcterms:W3CDTF">2016-08-11T20:00:18Z</dcterms:modified>
</cp:coreProperties>
</file>